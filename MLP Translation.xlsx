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teleperformance.sharepoint.com/sites/RecruitingCoEMalaysia/Shared Documents/General/Landing Page/Local chinese and native chinese Translation/"/>
    </mc:Choice>
  </mc:AlternateContent>
  <xr:revisionPtr revIDLastSave="885" documentId="13_ncr:1_{3B37C30A-ADBF-43F3-84A8-EE2B5F9C59C3}" xr6:coauthVersionLast="47" xr6:coauthVersionMax="47" xr10:uidLastSave="{5E53784E-0FE2-4346-BECD-369EA6365666}"/>
  <bookViews>
    <workbookView minimized="1" xWindow="1170" yWindow="1170" windowWidth="21600" windowHeight="12645" tabRatio="1000" firstSheet="11" activeTab="9" xr2:uid="{00000000-000D-0000-FFFF-FFFF00000000}"/>
  </bookViews>
  <sheets>
    <sheet name="Summary" sheetId="1" r:id="rId1"/>
    <sheet name="index.html" sheetId="2" r:id="rId2"/>
    <sheet name="about-tp.html" sheetId="3" r:id="rId3"/>
    <sheet name="area-around-office" sheetId="4" r:id="rId4"/>
    <sheet name="casual-interview" sheetId="5" r:id="rId5"/>
    <sheet name="cost-of-living" sheetId="6" r:id="rId6"/>
    <sheet name="daily-life-malaysia" sheetId="7" r:id="rId7"/>
    <sheet name="hiring-process" sheetId="8" r:id="rId8"/>
    <sheet name="office-environment" sheetId="9" r:id="rId9"/>
    <sheet name="open-jobs" sheetId="10" r:id="rId10"/>
    <sheet name="relocation-visa" sheetId="11" r:id="rId11"/>
    <sheet name="salary-and-benefits" sheetId="12" r:id="rId12"/>
    <sheet name="ta-team.html" sheetId="13" r:id="rId13"/>
    <sheet name="testimonials.html" sheetId="14" r:id="rId14"/>
    <sheet name="why-malaysia-thailand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5" l="1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9" i="15"/>
  <c r="D10" i="14"/>
  <c r="D11" i="14"/>
  <c r="D12" i="14"/>
  <c r="D13" i="14"/>
  <c r="D14" i="14"/>
  <c r="D15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9" i="14"/>
  <c r="D15" i="13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9" i="12"/>
  <c r="D10" i="11"/>
  <c r="D11" i="11"/>
  <c r="D17" i="11"/>
  <c r="D19" i="11"/>
  <c r="D20" i="11"/>
  <c r="D21" i="11"/>
  <c r="D23" i="11"/>
  <c r="D25" i="11"/>
  <c r="D28" i="11"/>
  <c r="D32" i="11"/>
  <c r="D42" i="11"/>
  <c r="D45" i="11"/>
  <c r="D63" i="11"/>
  <c r="D64" i="11"/>
  <c r="D66" i="11"/>
  <c r="D69" i="11"/>
  <c r="D71" i="11"/>
  <c r="D73" i="11"/>
  <c r="D75" i="11"/>
  <c r="D9" i="11"/>
  <c r="D10" i="10"/>
  <c r="D13" i="10"/>
  <c r="D16" i="10"/>
  <c r="D17" i="10"/>
  <c r="D18" i="10"/>
  <c r="D19" i="10"/>
  <c r="D20" i="10"/>
  <c r="D21" i="10"/>
  <c r="D22" i="10"/>
  <c r="D23" i="10"/>
  <c r="D24" i="10"/>
  <c r="D26" i="10"/>
  <c r="D27" i="10"/>
  <c r="D28" i="10"/>
  <c r="D30" i="10"/>
  <c r="D31" i="10"/>
  <c r="D33" i="10"/>
  <c r="D34" i="10"/>
  <c r="D35" i="10"/>
  <c r="D36" i="10"/>
  <c r="D37" i="10"/>
  <c r="D39" i="10"/>
  <c r="D40" i="10"/>
  <c r="D41" i="10"/>
  <c r="D42" i="10"/>
  <c r="D43" i="10"/>
  <c r="D44" i="10"/>
  <c r="D45" i="10"/>
  <c r="D47" i="10"/>
  <c r="D48" i="10"/>
  <c r="D49" i="10"/>
  <c r="D50" i="10"/>
  <c r="D51" i="10"/>
  <c r="D52" i="10"/>
  <c r="D53" i="10"/>
  <c r="D55" i="10"/>
  <c r="D56" i="10"/>
  <c r="D57" i="10"/>
  <c r="D58" i="10"/>
  <c r="D59" i="10"/>
  <c r="D60" i="10"/>
  <c r="D61" i="10"/>
  <c r="D62" i="10"/>
  <c r="D64" i="10"/>
  <c r="D65" i="10"/>
  <c r="D66" i="10"/>
  <c r="D68" i="10"/>
  <c r="D69" i="10"/>
  <c r="D9" i="10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" i="9"/>
  <c r="D9" i="8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F24" i="5"/>
  <c r="F25" i="5"/>
  <c r="F26" i="5"/>
  <c r="F27" i="5"/>
  <c r="F28" i="5"/>
  <c r="F29" i="5"/>
  <c r="F30" i="5"/>
  <c r="F31" i="5"/>
  <c r="F32" i="5"/>
  <c r="F33" i="5"/>
  <c r="F34" i="5"/>
  <c r="F36" i="5"/>
  <c r="F39" i="5"/>
  <c r="F40" i="5"/>
  <c r="F41" i="5"/>
  <c r="F44" i="5"/>
  <c r="F45" i="5"/>
  <c r="F46" i="5"/>
  <c r="F47" i="5"/>
  <c r="F48" i="5"/>
  <c r="F51" i="5"/>
  <c r="F52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7" i="5"/>
  <c r="D18" i="5"/>
  <c r="D19" i="5"/>
  <c r="D22" i="5"/>
  <c r="D23" i="5"/>
  <c r="D24" i="5"/>
  <c r="D33" i="5"/>
  <c r="D35" i="5"/>
  <c r="D66" i="5"/>
  <c r="D76" i="5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5" i="4"/>
  <c r="F36" i="4"/>
  <c r="F37" i="4"/>
  <c r="F38" i="4"/>
  <c r="F39" i="4"/>
  <c r="F40" i="4"/>
  <c r="F42" i="4"/>
  <c r="D18" i="4"/>
  <c r="D19" i="4"/>
  <c r="D21" i="4"/>
  <c r="D23" i="4"/>
  <c r="D24" i="4"/>
  <c r="D25" i="4"/>
  <c r="D26" i="4"/>
  <c r="D27" i="4"/>
  <c r="D35" i="4"/>
  <c r="D36" i="4"/>
  <c r="D37" i="4"/>
  <c r="D38" i="4"/>
  <c r="D39" i="4"/>
  <c r="D40" i="4"/>
  <c r="D42" i="4"/>
  <c r="F23" i="3"/>
  <c r="D18" i="3"/>
  <c r="D19" i="3"/>
  <c r="D20" i="3"/>
  <c r="D21" i="3"/>
  <c r="D22" i="3"/>
  <c r="D23" i="3"/>
  <c r="D24" i="3"/>
  <c r="D27" i="3"/>
  <c r="D28" i="3"/>
  <c r="D30" i="3"/>
  <c r="D31" i="3"/>
  <c r="D32" i="3"/>
  <c r="D33" i="3"/>
  <c r="B3" i="1"/>
  <c r="B4" i="1"/>
</calcChain>
</file>

<file path=xl/sharedStrings.xml><?xml version="1.0" encoding="utf-8"?>
<sst xmlns="http://schemas.openxmlformats.org/spreadsheetml/2006/main" count="3655" uniqueCount="1802">
  <si>
    <t>TP Mandarin Landing Pages (MLP) - Translation Review Document</t>
  </si>
  <si>
    <t>Field</t>
  </si>
  <si>
    <t>Project Name</t>
  </si>
  <si>
    <t>Document Version</t>
  </si>
  <si>
    <t>v1.0</t>
  </si>
  <si>
    <t>Total Pages</t>
  </si>
  <si>
    <t>6 (index, about-tp, area-around-office, casual-interview, cost-of-living, daily-life-malaysia)</t>
  </si>
  <si>
    <t>Translator</t>
  </si>
  <si>
    <t>Claude AI</t>
  </si>
  <si>
    <t>14 (about-tp.html
area-around-office.html
casual-interview.html
cost-of-living.html
daily-life-malaysia.html
hiring-process.html
index.html
office-environment.html
open-jobs.html
relocation-visa.html
salary-and-benefits.html
ta-team.html
testimonials.html</t>
  </si>
  <si>
    <t>Column1</t>
  </si>
  <si>
    <t>Column2</t>
  </si>
  <si>
    <t>about-tp.html</t>
  </si>
  <si>
    <t>https://tpmyandtpth.github.io/MLP/about-tp.html</t>
  </si>
  <si>
    <t>⬜ Pending</t>
  </si>
  <si>
    <t>area-around-office.html</t>
  </si>
  <si>
    <t>https://tpmyandtpth.github.io/MLP/area-around-office.html</t>
  </si>
  <si>
    <t>casual-interview.html</t>
  </si>
  <si>
    <t>https://tpmyandtpth.github.io/MLP/casual-interview.html</t>
  </si>
  <si>
    <t>cost-of-living.html</t>
  </si>
  <si>
    <t>https://tpmyandtpth.github.io/MLP/cost-of-living.html</t>
  </si>
  <si>
    <t>daily-life-malaysia.html</t>
  </si>
  <si>
    <t>https://tpmyandtpth.github.io/MLP/daily-life-malaysia.html</t>
  </si>
  <si>
    <t>hiring-process.html</t>
  </si>
  <si>
    <t>https://tpmyandtpth.github.io/MLP/hiring-process.html</t>
  </si>
  <si>
    <t>index.html</t>
  </si>
  <si>
    <t>https://tpmyandtpth.github.io/MLP/index.html</t>
  </si>
  <si>
    <t>Done</t>
  </si>
  <si>
    <t>office-environment.html</t>
  </si>
  <si>
    <t>https://tpmyandtpth.github.io/MLP/office-environment.html</t>
  </si>
  <si>
    <t>open-jobs.html</t>
  </si>
  <si>
    <t>https://tpmyandtpth.github.io/MLP/open-jobs.html</t>
  </si>
  <si>
    <t>relocation-visa.html</t>
  </si>
  <si>
    <t>https://tpmyandtpth.github.io/MLP/relocation-visa.html</t>
  </si>
  <si>
    <t>salary-and-benefits.html</t>
  </si>
  <si>
    <t>https://tpmyandtpth.github.io/MLP/salary-and-benefits.html</t>
  </si>
  <si>
    <t>ta-team.html</t>
  </si>
  <si>
    <t>https://tpmyandtpth.github.io/MLP/ta-team.html</t>
  </si>
  <si>
    <t>testimonials.html</t>
  </si>
  <si>
    <t>https://tpmyandtpth.github.io/MLP/testimonials.html</t>
  </si>
  <si>
    <t>why-malaysia-thailand.html</t>
  </si>
  <si>
    <t>https://tpmyandtpth.github.io/MLP/why-malaysia-thailand.html</t>
  </si>
  <si>
    <t>Value</t>
  </si>
  <si>
    <t>Page URL</t>
  </si>
  <si>
    <t>Page Title (EN)</t>
  </si>
  <si>
    <t>Homepage / Landing Page</t>
  </si>
  <si>
    <t>Page Title (CN)</t>
  </si>
  <si>
    <t>TP招聘 | 马来西亚·泰国华语工作机会</t>
  </si>
  <si>
    <t>TP招聘 | 马来西亚·泰国中文工作机会</t>
  </si>
  <si>
    <t>Created Date</t>
  </si>
  <si>
    <t>2026-01-27</t>
  </si>
  <si>
    <t>Review Date</t>
  </si>
  <si>
    <t>Reviewer Name</t>
  </si>
  <si>
    <t>Anna Saw</t>
  </si>
  <si>
    <t>Review Status</t>
  </si>
  <si>
    <t>Completed</t>
  </si>
  <si>
    <t>Version</t>
  </si>
  <si>
    <t>Content Review Table</t>
  </si>
  <si>
    <t>Line #</t>
  </si>
  <si>
    <t>Section</t>
  </si>
  <si>
    <t>Local Mandarin (Mixed English)</t>
  </si>
  <si>
    <t>Local Comment</t>
  </si>
  <si>
    <t>Native Mandarin</t>
  </si>
  <si>
    <t>Native Comment</t>
  </si>
  <si>
    <t>Lang Toggle</t>
  </si>
  <si>
    <t>🇲🇾 本地华人</t>
  </si>
  <si>
    <t>🌏 海外华人</t>
  </si>
  <si>
    <t>Header Nav</t>
  </si>
  <si>
    <t>Open Jobs</t>
  </si>
  <si>
    <t>在招职位</t>
  </si>
  <si>
    <t>职位列表</t>
  </si>
  <si>
    <t>薪资·Benefits</t>
  </si>
  <si>
    <t>薪资福利</t>
  </si>
  <si>
    <t>为什么选择MY/TH</t>
  </si>
  <si>
    <t>为什么选择马来西亚和泰国</t>
  </si>
  <si>
    <t>Visa·搬迁</t>
  </si>
  <si>
    <t>签证与搬迁安排</t>
  </si>
  <si>
    <t>签证·搬迁</t>
  </si>
  <si>
    <t>签证与搬迁支持</t>
  </si>
  <si>
    <t>Apply Now</t>
  </si>
  <si>
    <t>立即申请</t>
  </si>
  <si>
    <t>Hero Typewriter</t>
  </si>
  <si>
    <t>用华语，开启Global Career</t>
  </si>
  <si>
    <t>用华语，开启国际职涯</t>
  </si>
  <si>
    <t>用华语，开启全球化职业生涯</t>
  </si>
  <si>
    <t>在东南亚，体验理想Life</t>
  </si>
  <si>
    <t>在东南亚，体验理想生活</t>
  </si>
  <si>
    <t>加入世界500强BPO企业</t>
  </si>
  <si>
    <t>加入世界500强业务流程外包企业</t>
  </si>
  <si>
    <t>Hero Subtitle</t>
  </si>
  <si>
    <t>你的下一个Career，从这里开始</t>
  </si>
  <si>
    <t>你的下一份工作，从这里开始</t>
  </si>
  <si>
    <t>你的下一份事业，从这里开始</t>
  </si>
  <si>
    <t>Hero CTA</t>
  </si>
  <si>
    <t>查看Open Jobs</t>
  </si>
  <si>
    <t>查看在招职位</t>
  </si>
  <si>
    <t>查看职位</t>
  </si>
  <si>
    <t>Hero Stats</t>
  </si>
  <si>
    <t>国家/地区</t>
  </si>
  <si>
    <t>运营国家</t>
  </si>
  <si>
    <t>全球Employee</t>
  </si>
  <si>
    <t>全球员工规模</t>
  </si>
  <si>
    <t>全球员工</t>
  </si>
  <si>
    <t>MY/TH员工</t>
  </si>
  <si>
    <t>马来西亚/泰国员工</t>
  </si>
  <si>
    <t>Social Proof</t>
  </si>
  <si>
    <t>年连续Great Place to Work®</t>
  </si>
  <si>
    <t>连续多年Great Place to Work® 认证</t>
  </si>
  <si>
    <t>年连续最佳职场认证</t>
  </si>
  <si>
    <t>连续多年荣获最佳职场认证</t>
  </si>
  <si>
    <t>年World's Best Workplaces™</t>
  </si>
  <si>
    <t>World's Best Workplaces™ 认证</t>
  </si>
  <si>
    <t>年全球最佳职场</t>
  </si>
  <si>
    <t>年度全球最佳职场</t>
  </si>
  <si>
    <t>About Section</t>
  </si>
  <si>
    <t>你的下一个Career从这里开始！</t>
  </si>
  <si>
    <t>你的下一份事业从这里开始！</t>
  </si>
  <si>
    <t>About Text</t>
  </si>
  <si>
    <t>TP是全球领先的BPO（Business Process Outsourcing）企业</t>
  </si>
  <si>
    <t>TP是全球领先的业务流程外包企业</t>
  </si>
  <si>
    <t>为全球知名Brand提供卓越的Customer Experience服务</t>
  </si>
  <si>
    <t>为国际知名品牌提供客户体验服务</t>
  </si>
  <si>
    <t>为全球知名品牌提供卓越的客户体验服务</t>
  </si>
  <si>
    <t>无论你是Fresh Graduate还是经验丰富的Professional</t>
  </si>
  <si>
    <t>无论你是Fresh Graduate还是有工作经验</t>
  </si>
  <si>
    <t>无论你是应届毕业生还是经验丰富的专业人士</t>
  </si>
  <si>
    <t>GPTW Section</t>
  </si>
  <si>
    <t>TP 荣获 Great Place to Work® 评选的「World's Best Workplaces™」</t>
  </si>
  <si>
    <t>TP 荣获卓越职场研究机构评选的「全球最佳职场」</t>
  </si>
  <si>
    <t>GPTW Description</t>
  </si>
  <si>
    <t>基于员工的 Feedback 与信任...Empower 员工</t>
  </si>
  <si>
    <t>基于员工的 反馈与信任...支持员工成长与发展</t>
  </si>
  <si>
    <t>基于员工的反馈与信任...赋能员工</t>
  </si>
  <si>
    <t>GPTW Stats</t>
  </si>
  <si>
    <t>全球 Employee 人数</t>
  </si>
  <si>
    <t>全球员工人数</t>
  </si>
  <si>
    <t>Chinese Community</t>
  </si>
  <si>
    <t>华语Community在TP</t>
  </si>
  <si>
    <t>TP 中文员工社区</t>
  </si>
  <si>
    <t>TP的华语社区</t>
  </si>
  <si>
    <t>Community Stats</t>
  </si>
  <si>
    <t>WeChat Group</t>
  </si>
  <si>
    <t>WeChat 群组</t>
  </si>
  <si>
    <t>微信群组</t>
  </si>
  <si>
    <t>Priority Menu</t>
  </si>
  <si>
    <t>热门Topic</t>
  </si>
  <si>
    <t>热门话题</t>
  </si>
  <si>
    <t>Card</t>
  </si>
  <si>
    <t>全球最大BPO企业之一</t>
  </si>
  <si>
    <t>全球最大业务流程外包企业之一</t>
  </si>
  <si>
    <t>Visa·搬迁Support</t>
  </si>
  <si>
    <t>签证与搬迁协助</t>
  </si>
  <si>
    <t>签证·搬迁支持</t>
  </si>
  <si>
    <t>员工Story</t>
  </si>
  <si>
    <t>员工分享</t>
  </si>
  <si>
    <t>员工故事</t>
  </si>
  <si>
    <t>为什么选择马来西亚或泰国</t>
  </si>
  <si>
    <t>Casual面谈</t>
  </si>
  <si>
    <t>轻松交流 Interview</t>
  </si>
  <si>
    <t>轻松面谈</t>
  </si>
  <si>
    <t>招聘Process</t>
  </si>
  <si>
    <t>招聘流程</t>
  </si>
  <si>
    <t>Online完成全部流程</t>
  </si>
  <si>
    <t>全程 Online 完成</t>
  </si>
  <si>
    <t>在线完成全部流程</t>
  </si>
  <si>
    <t>全流程线上完成</t>
  </si>
  <si>
    <t>办公环境·Virtual Tour</t>
  </si>
  <si>
    <t>办公环境·虚拟参观</t>
  </si>
  <si>
    <t>办公环境与Career Path</t>
  </si>
  <si>
    <t>办公环境与发展机会</t>
  </si>
  <si>
    <t>办公环境与职业发展</t>
  </si>
  <si>
    <t>推荐 Bonus</t>
  </si>
  <si>
    <t>推荐奖励</t>
  </si>
  <si>
    <t>推荐朋友获得 Reward</t>
  </si>
  <si>
    <t>推荐朋友获得奖励</t>
  </si>
  <si>
    <t>Blog·最新消息</t>
  </si>
  <si>
    <t>博客·最新消息</t>
  </si>
  <si>
    <t>Social Card</t>
  </si>
  <si>
    <t>WeChat微信</t>
  </si>
  <si>
    <t>微信</t>
  </si>
  <si>
    <t>Icon Grid</t>
  </si>
  <si>
    <t>生活信息·Support</t>
  </si>
  <si>
    <t>生活资讯 · 支援</t>
  </si>
  <si>
    <t>生活信息·支持</t>
  </si>
  <si>
    <t>实用生活信息和 Resource</t>
  </si>
  <si>
    <t>实用生活资讯和资源</t>
  </si>
  <si>
    <t>实用生活信息和资源</t>
  </si>
  <si>
    <t>Icon Card</t>
  </si>
  <si>
    <t>MY 生活成本</t>
  </si>
  <si>
    <t>马来西亚生活成本</t>
  </si>
  <si>
    <t>招聘 Team 介绍</t>
  </si>
  <si>
    <t>招聘团队介绍</t>
  </si>
  <si>
    <t>华语 Support</t>
  </si>
  <si>
    <t>华语支援</t>
  </si>
  <si>
    <t>华语支持</t>
  </si>
  <si>
    <t>Office 周边</t>
  </si>
  <si>
    <t>办公室周边</t>
  </si>
  <si>
    <t>Career Path·晋升</t>
  </si>
  <si>
    <t>职业发展·晋升</t>
  </si>
  <si>
    <t>语言·Training Program</t>
  </si>
  <si>
    <t>语言 · 培训课程</t>
  </si>
  <si>
    <t>语言·培训项目</t>
  </si>
  <si>
    <t>Event·企业文化</t>
  </si>
  <si>
    <t>活动 · 企业文化</t>
  </si>
  <si>
    <t>活动·企业文化</t>
  </si>
  <si>
    <t>华语 Community</t>
  </si>
  <si>
    <t>华语社区</t>
  </si>
  <si>
    <t>Onboarding 指南</t>
  </si>
  <si>
    <t>入职指南</t>
  </si>
  <si>
    <t>MY vs TH 对比</t>
  </si>
  <si>
    <t>马来西亚 vs 泰国</t>
  </si>
  <si>
    <t>Success Case</t>
  </si>
  <si>
    <t>成功案例</t>
  </si>
  <si>
    <t>家属 Visa</t>
  </si>
  <si>
    <t>家属签证</t>
  </si>
  <si>
    <t>Remote Work</t>
  </si>
  <si>
    <t>远程办公</t>
  </si>
  <si>
    <t>WFH Option</t>
  </si>
  <si>
    <t>居家办公选项</t>
  </si>
  <si>
    <t>WeChat 官方账号</t>
  </si>
  <si>
    <t>微信官方账号</t>
  </si>
  <si>
    <t>LINE 官方 Account</t>
  </si>
  <si>
    <t>LINE 官方账号</t>
  </si>
  <si>
    <t>City Card</t>
  </si>
  <si>
    <t>即将 Open</t>
  </si>
  <si>
    <t>即将开放</t>
  </si>
  <si>
    <t>Video Section</t>
  </si>
  <si>
    <t>员工 Interview（视频）</t>
  </si>
  <si>
    <t>员工访谈（视频）</t>
  </si>
  <si>
    <t>通过短视频了解真实的工作 Experience</t>
  </si>
  <si>
    <t>通过短视频了解真实的工作体验</t>
  </si>
  <si>
    <t>Video Card</t>
  </si>
  <si>
    <t>TP员工 Interview：Agent 篇</t>
  </si>
  <si>
    <t>TP员工访谈：客服代表篇</t>
  </si>
  <si>
    <t>一线 Agent 的工作日常</t>
  </si>
  <si>
    <t>一线客服代表的工作日常</t>
  </si>
  <si>
    <t>TP员工 Interview：Team Leader 篇</t>
  </si>
  <si>
    <t>TP员工访谈：团队主管篇</t>
  </si>
  <si>
    <t>现场 Management 和培养的真实情况</t>
  </si>
  <si>
    <t>现场管理与人才培养的实际情况</t>
  </si>
  <si>
    <t>现场管理和人才培养的真实情况</t>
  </si>
  <si>
    <t>TP员工 Interview：Operations Manager 篇</t>
  </si>
  <si>
    <t>TP员工访谈：运营经理篇</t>
  </si>
  <si>
    <t>Quality 和 Productivity 的幕后支持</t>
  </si>
  <si>
    <t>客服质量与绩效提升支持</t>
  </si>
  <si>
    <t>质量和生产力的幕后支持</t>
  </si>
  <si>
    <t>World Map</t>
  </si>
  <si>
    <t>TP 全球 Network</t>
  </si>
  <si>
    <t>TP 全球网络布局</t>
  </si>
  <si>
    <t>TP 全球网络</t>
  </si>
  <si>
    <t>在 100 多个国家提供 Global Service</t>
  </si>
  <si>
    <t>在 100 多个国家提供全球服务</t>
  </si>
  <si>
    <t>Office Section</t>
  </si>
  <si>
    <t>舒适且交通便利的 Workplace</t>
  </si>
  <si>
    <t>舒适且交通便利的工作场所</t>
  </si>
  <si>
    <t>Office Card</t>
  </si>
  <si>
    <t>Ampang Park 站直达</t>
  </si>
  <si>
    <t>安邦公园站直达</t>
  </si>
  <si>
    <t>KLCC 步行可达</t>
  </si>
  <si>
    <t>双子塔步行可达</t>
  </si>
  <si>
    <t>Grade A Office Building</t>
  </si>
  <si>
    <t>Grade A 办公司楼</t>
  </si>
  <si>
    <t>甲级办公楼</t>
  </si>
  <si>
    <t>餐厅·Pharmacy nearby</t>
  </si>
  <si>
    <t>餐厅·Pharmacy 附近</t>
  </si>
  <si>
    <t>餐厅·药房近在咫尺</t>
  </si>
  <si>
    <t>Bayan Baru 区域</t>
  </si>
  <si>
    <t>峇央峇鲁区域</t>
  </si>
  <si>
    <t>Queensbay Mall nearby</t>
  </si>
  <si>
    <t>Queensbay Mall 附近</t>
  </si>
  <si>
    <t>皇后湾广场附近</t>
  </si>
  <si>
    <t>州 GBS Hub</t>
  </si>
  <si>
    <t>本州全球服务中心</t>
  </si>
  <si>
    <t>州全球商务服务中心</t>
  </si>
  <si>
    <t>IT/BPO 集聚地</t>
  </si>
  <si>
    <t>IT/业务流程外包集聚地</t>
  </si>
  <si>
    <t>LRT 站附近</t>
  </si>
  <si>
    <t>轻轨站附近</t>
  </si>
  <si>
    <t>Shopping 便利</t>
  </si>
  <si>
    <t>方便购物</t>
  </si>
  <si>
    <t>购物便利</t>
  </si>
  <si>
    <t>BTS/MRT nearby</t>
  </si>
  <si>
    <t>BTS/MRT 附近</t>
  </si>
  <si>
    <t>轻轨/地铁附近</t>
  </si>
  <si>
    <t>BRT 直达</t>
  </si>
  <si>
    <t>快速公交直达</t>
  </si>
  <si>
    <t>WFH（居家办公）</t>
  </si>
  <si>
    <t>居家办公</t>
  </si>
  <si>
    <t>Remote Work Option</t>
  </si>
  <si>
    <t>远程工作选项</t>
  </si>
  <si>
    <t>Office CTA</t>
  </si>
  <si>
    <t>Virtual Office Tour →</t>
  </si>
  <si>
    <t>虚拟办公室参观 →</t>
  </si>
  <si>
    <t>Lifestyle</t>
  </si>
  <si>
    <t>不只是工作充实的 Active Life</t>
  </si>
  <si>
    <t>不只是工作充实的活力生活</t>
  </si>
  <si>
    <t>周末去 Travel下班后 Enjoy 爱好和放松</t>
  </si>
  <si>
    <t>周末去旅行下班后享受爱好和放松</t>
  </si>
  <si>
    <t>Shopping 购物</t>
  </si>
  <si>
    <t>购物</t>
  </si>
  <si>
    <t>Beach Relax</t>
  </si>
  <si>
    <t>海滩放松</t>
  </si>
  <si>
    <t>Night Market 夜市</t>
  </si>
  <si>
    <t>夜市</t>
  </si>
  <si>
    <t>Pool·Gym 生活</t>
  </si>
  <si>
    <t>泳池·健身房生活</t>
  </si>
  <si>
    <t>City View</t>
  </si>
  <si>
    <t>城市风光</t>
  </si>
  <si>
    <t>文化 Experience</t>
  </si>
  <si>
    <t>文化体验</t>
  </si>
  <si>
    <t>Weekend Trip</t>
  </si>
  <si>
    <t>周末出游</t>
  </si>
  <si>
    <t>Cafe Culture</t>
  </si>
  <si>
    <t>咖啡文化</t>
  </si>
  <si>
    <t>Testimonials</t>
  </si>
  <si>
    <t>来自真实员工的 "Real Feedback"</t>
  </si>
  <si>
    <t>来自真实员工的真实反馈</t>
  </si>
  <si>
    <t>Testimonial</t>
  </si>
  <si>
    <t>可以轻松享受 Cafe 和外食...做 Yoga 或和朋友相聚</t>
  </si>
  <si>
    <t>可以轻松享受咖啡厅和外食...做瑜伽或和朋友相聚</t>
  </si>
  <si>
    <t>招聘 Team·20多岁女性</t>
  </si>
  <si>
    <t>招聘团队·20多岁女性</t>
  </si>
  <si>
    <t>每个周末都能去 Pool、Sauna、Gym...去 Beach 或 Night Market工作和生活 Balance</t>
  </si>
  <si>
    <t>每个周末都能去 Pool、Sauna、Gym...去海边或夜市工作和生活平衡</t>
  </si>
  <si>
    <t>每个周末都能去泳池、桑拿、健身房...去海滩或夜市工作和生活平衡</t>
  </si>
  <si>
    <t>Customer Support·30多岁男性</t>
  </si>
  <si>
    <t>客户支持·30多岁男性</t>
  </si>
  <si>
    <t>从华语为主的 Job 开始...提升 Skill 的环境</t>
  </si>
  <si>
    <t>从中文为主的工作开始...提升技能的环境</t>
  </si>
  <si>
    <t>从华语为主的工作开始...提升技能的环境</t>
  </si>
  <si>
    <t>原 Sales·30多岁</t>
  </si>
  <si>
    <t>原销售·30多岁</t>
  </si>
  <si>
    <t>招聘 Team</t>
  </si>
  <si>
    <t>招聘团队</t>
  </si>
  <si>
    <t>努力就能得到认可的 Company 文化...晋升到 Team Leader 的经历，Career 可能性</t>
  </si>
  <si>
    <t>努力就能得到认可的公司文化...晋升到 Team Leader 的经历，职涯可能性</t>
  </si>
  <si>
    <t>努力就能得到认可的公司文化...晋升到团队主管的经历，职业可能性</t>
  </si>
  <si>
    <t>Team Leader·40多岁</t>
  </si>
  <si>
    <t>团队主管·40多岁</t>
  </si>
  <si>
    <t>不会 Homesick周末还能去周边国家 Travel</t>
  </si>
  <si>
    <t>周末也不无聊，顺便去邻近国家旅行</t>
  </si>
  <si>
    <t>不会想家周末还能去周边国家旅行</t>
  </si>
  <si>
    <t>QA Specialist·20多岁</t>
  </si>
  <si>
    <t>质量专员·20多岁</t>
  </si>
  <si>
    <t>Benefits</t>
  </si>
  <si>
    <t>福利Highlight</t>
  </si>
  <si>
    <t>福利亮点</t>
  </si>
  <si>
    <t>Process</t>
  </si>
  <si>
    <t>Online Test</t>
  </si>
  <si>
    <t>在线测试</t>
  </si>
  <si>
    <t>TA Team</t>
  </si>
  <si>
    <t>招聘Team</t>
  </si>
  <si>
    <t>Floating</t>
  </si>
  <si>
    <t>初步沟通</t>
  </si>
  <si>
    <t>About TP</t>
  </si>
  <si>
    <t>关于TP | TP招聘 马来西亚·泰国</t>
  </si>
  <si>
    <t>POC</t>
  </si>
  <si>
    <t>Lang Dropdown</t>
  </si>
  <si>
    <t>Malaysian Chinese - 混合英文词汇</t>
  </si>
  <si>
    <t>Expat Chinese - 纯中文版本</t>
  </si>
  <si>
    <t>Hero</t>
  </si>
  <si>
    <t>全球最大BPO企业，为华语人才提供Career机会</t>
  </si>
  <si>
    <t>全球最大BPO企业，为中文人才提供职涯机会</t>
  </si>
  <si>
    <t>全球最大业务流程外包企业，为华语人才提供职业机会</t>
  </si>
  <si>
    <t>全球最大业务流程外包企业，为中文人才提供职业机会</t>
  </si>
  <si>
    <t>GPTW</t>
  </si>
  <si>
    <t>Stats</t>
  </si>
  <si>
    <t>Footer</t>
  </si>
  <si>
    <t>Area Around Office</t>
  </si>
  <si>
    <t>周边环境 | TP招聘 马来西亚·泰国</t>
  </si>
  <si>
    <t>便捷的交通，丰富的美食，舒适的生活。这些是我们每天最看重的事。</t>
  </si>
  <si>
    <t>便捷交通、丰富美食、舒适生活。好的日常环境，让我们专注于工作和成长。</t>
  </si>
  <si>
    <t>Pill Nav</t>
  </si>
  <si>
    <t>KL Lead</t>
  </si>
  <si>
    <t>城市繁华与绿色兼备，多元文化在这里共融。交通便利、美食众多、娱乐活动丰富。</t>
  </si>
  <si>
    <t>城市繁华又有绿色空间，多元文化融合在这里。交通方便、美食多、娱乐丰富。</t>
  </si>
  <si>
    <t>城市繁华与自然风景结合，多民族文化在此汇聚。便捷的交通、多样的美食、丰富的娱乐选择。</t>
  </si>
  <si>
    <t>KL Card</t>
  </si>
  <si>
    <t>交通出行</t>
  </si>
  <si>
    <t>轻轨、公交、打车应用齐全，上班通勤便捷。位于市中心，出行方便。</t>
  </si>
  <si>
    <t>交通方便，有LRT、巴士，也可以用Grab。上班出行很轻松，市中心位置也很方便。</t>
  </si>
  <si>
    <t>地铁、公交、打车应用一应俱全。中心位置，通勤快速便捷。</t>
  </si>
  <si>
    <t>美食选择</t>
  </si>
  <si>
    <t>街边小摊、本地菜、日本料理、咖啡厅应有尽有。吃饭便宜，总能发现新的美食。</t>
  </si>
  <si>
    <t>小食摊、本地菜、日本料理、特色咖啡应有尽有。外食便宜，每天都有新发现。</t>
  </si>
  <si>
    <t>运动休闲</t>
  </si>
  <si>
    <t>公寓有健身房和游泳池，市内公园和运动设施齐全。工作之余，轻松放松身心。</t>
  </si>
  <si>
    <t>公寓配备健身房、游泳池，周边运动设施完善。工作之余，轻松运动放松。</t>
  </si>
  <si>
    <t>Penang Lead</t>
  </si>
  <si>
    <t>靠海的小岛，有着慢生活的节奏。环境宁静，生活成本低，风景优美。</t>
  </si>
  <si>
    <t>滨海小岛，悠闲舒适的生活节奏。环境宁静、成本低廉、自然风景优美。</t>
  </si>
  <si>
    <t>Penang Card</t>
  </si>
  <si>
    <t>打车应用是出门首选。无论住在海边还是市区，通勤都很轻松。</t>
  </si>
  <si>
    <t>用Grab最方便，不管住海边还是市区，通勤都很轻松。</t>
  </si>
  <si>
    <t>打车应用方便快捷。海边或市区都很容易出行。</t>
  </si>
  <si>
    <t>街边小摊、美食广场、咖啡馆文化浓厚。各地美食应有尽有，天天吃不一样。</t>
  </si>
  <si>
    <t>街边小摊、美食广场、咖啡馆文化浓厚。各地美食应有尽有，天天都可以吃不一样。</t>
  </si>
  <si>
    <t>小摊美食、广场小食、咖啡文化浓厚。多元美食选择，每天不重样。</t>
  </si>
  <si>
    <t>海滨散步、海滩游玩、咖啡厅小坐。慢生活在这里很常见。</t>
  </si>
  <si>
    <t>海边散步、去海滩玩、或者坐在咖啡厅喝咖啡，这里的生活节奏很悠闲。</t>
  </si>
  <si>
    <t>海边漫步、沙滩游玩、咖啡聚会。悠闲的生活方式在这里很普遍。</t>
  </si>
  <si>
    <t>Bangkok Lead</t>
  </si>
  <si>
    <t>东南亚最国际化的城市，发达的交通、完善的服务、丰富的选择。</t>
  </si>
  <si>
    <t>东南亚超国际化的城市，交通便利、服务好、选择多。</t>
  </si>
  <si>
    <t>东南亚最国际化城市，发达交通、完善服务、丰富选择。</t>
  </si>
  <si>
    <t>Bangkok Card</t>
  </si>
  <si>
    <t>地铁网络发达，主要区域都能直达。打车应用也很方便实惠。</t>
  </si>
  <si>
    <t>地铁去主要地方都很方便，用Grab打车也省事又划算。</t>
  </si>
  <si>
    <t>地铁网络发达，覆盖主要区域。打车应用便宜便捷。</t>
  </si>
  <si>
    <t>日式便利</t>
  </si>
  <si>
    <t>华语便利</t>
  </si>
  <si>
    <t>日本餐厅、日用品、医疗服务，日语支持完善。新手也能快速适应。</t>
  </si>
  <si>
    <t>华人餐厅、中式日用品、医疗服务，中文支持完善。新手也能很快适应生活。</t>
  </si>
  <si>
    <t>日本餐厅、日用品、医疗服务齐全。日语支持完善，新手也能快速上手。</t>
  </si>
  <si>
    <t>大型商场、特色餐厅、各类活动。工作之余，生活很丰富多彩。</t>
  </si>
  <si>
    <t>大型商城、特色美食、活动众多。工作之余，有很多方式放松。</t>
  </si>
  <si>
    <t>Tips Quote</t>
  </si>
  <si>
    <t>"随便找个街边小摊吃饭，既便宜又好吃。现在我特别喜欢在这里生活。"</t>
  </si>
  <si>
    <t>"吃饭选择太多了，街边、商场、日本菜样样有。成本低，吃得又开心。"</t>
  </si>
  <si>
    <t>"大海就在身边，周末约朋友去海边咖啡厅，非常放松。"</t>
  </si>
  <si>
    <t>"靠近大海特别好，周末海边散步、咖啡厅小坐，工作压力都减半了。"</t>
  </si>
  <si>
    <t>"地铁真的很方便，下班后可以直接去商场或咖啡厅。生活便利度很高。"</t>
  </si>
  <si>
    <t>"地铁四通八达，下班后想去哪就去哪。这座城市节奏快但很有活力。"</t>
  </si>
  <si>
    <t>Disclaimer</t>
  </si>
  <si>
    <t>部分图片为示意图。实际工作地点、通勤方式、办公设施会因项目和时期有所不同。</t>
  </si>
  <si>
    <t>部分图片为示意。具体工作地点、通勤路线、办公环境因项目而异。</t>
  </si>
  <si>
    <t>CTA Card</t>
  </si>
  <si>
    <t>华语职位众多，欢迎没有经验的朋友。</t>
  </si>
  <si>
    <t>华语岗位丰富，欢迎应届毕业生和职场新手。</t>
  </si>
  <si>
    <t>不是正式面试，只是聊天了解一下。用日语提问也没问题。</t>
  </si>
  <si>
    <t>不是正式面试，只是聊天了解一下。用中文提问也没问题。</t>
  </si>
  <si>
    <t>非正式面试，就是友好的聊天。用日语提问也完全可以。</t>
  </si>
  <si>
    <t>最新职位、生活资讯、工作建议。有问题也可以直接问。</t>
  </si>
  <si>
    <t>最新职位、当地资讯、工作提示。有任何问题都能直接提。</t>
  </si>
  <si>
    <t>Casual Interview</t>
  </si>
  <si>
    <t>休闲面谈 | TP招聘 马来西亚·泰国</t>
  </si>
  <si>
    <t>Home</t>
  </si>
  <si>
    <t>首页</t>
  </si>
  <si>
    <t>关于TP</t>
  </si>
  <si>
    <t>Hiring Process</t>
  </si>
  <si>
    <t>Visa Support</t>
  </si>
  <si>
    <t>签证支持</t>
  </si>
  <si>
    <t>Brand Tagline</t>
  </si>
  <si>
    <t>Malaysia·Thailand</t>
  </si>
  <si>
    <t>马来西亚·泰国</t>
  </si>
  <si>
    <t>Hero H1</t>
  </si>
  <si>
    <t>Casual Chat进行中！— 先easy，用华语consult吧</t>
  </si>
  <si>
    <t>随意聊天进行中！— 先轻松聊，用华语咨询吧</t>
  </si>
  <si>
    <t>休闲面谈进行中！— 先轻松，用华语咨询吧</t>
  </si>
  <si>
    <t>Hero P</t>
  </si>
  <si>
    <t>关于Malaysia·Thailand的「work」「work style」「life cost」「住所」，30分钟online（Microsoft Teams）guide你。不是interview。No experience的朋友，考虑转职的朋友也welcome。</t>
  </si>
  <si>
    <t>关于马来西亚和泰国的「工作」「工作方式」「生活成本」「住宿」，30分钟线上（Microsoft Teams）带你了解。不是面试哦。没有经验的朋友、考虑转职的朋友也欢迎加入。</t>
  </si>
  <si>
    <t>关于马来西亚·泰国的「工作」「工作方式」「生活费」「住所」，30分钟线上（Microsoft Teams）指引你。不是面试。无经验的朋友，考虑转职的朋友也欢迎。</t>
  </si>
  <si>
    <t>Open面谈Form →</t>
  </si>
  <si>
    <t>开放面试表格</t>
  </si>
  <si>
    <t>打开面谈表单 →</t>
  </si>
  <si>
    <t>看面谈Content</t>
  </si>
  <si>
    <t>查看面试内容</t>
  </si>
  <si>
    <t>看面谈内容</t>
  </si>
  <si>
    <t>Section Title</t>
  </si>
  <si>
    <t>Casual Chat的Point</t>
  </si>
  <si>
    <t>随意聊天的重点</t>
  </si>
  <si>
    <t>休闲面谈的要点</t>
  </si>
  <si>
    <t>Section Subtitle</t>
  </si>
  <si>
    <t>短时间solve不安和疑问。Apply前，先information收集。</t>
  </si>
  <si>
    <t>短时间解决你的疑问和不安。在申请前，先收集信息。</t>
  </si>
  <si>
    <t>短时间解决不安和疑问。申请前，先信息收集。</t>
  </si>
  <si>
    <t>Point Card</t>
  </si>
  <si>
    <t>不是Interview</t>
  </si>
  <si>
    <t>不是面试</t>
  </si>
  <si>
    <t>No pass/fail。Information提供和consult目的的casual场。</t>
  </si>
  <si>
    <t>没有通过或不通过的考核。这里是提供信息和咨询的轻松场合。</t>
  </si>
  <si>
    <t>没有通过/不通过。信息提供和咨询目的的休闲场合。</t>
  </si>
  <si>
    <t>Online 30分钟</t>
  </si>
  <si>
    <t>线上30分钟</t>
  </si>
  <si>
    <t>Microsoft Teams实施。Phone／PC都OK。</t>
  </si>
  <si>
    <t>通过Microsoft Teams进行。手机或电脑都可以。</t>
  </si>
  <si>
    <t>Microsoft Teams实施。手机／电脑都OK。</t>
  </si>
  <si>
    <t>华语Support</t>
  </si>
  <si>
    <t>华语speaker的staff对应。English不confident也没problem。</t>
  </si>
  <si>
    <t>有华语招聘者对应，即使英文不太自信也没问题。</t>
  </si>
  <si>
    <t>华语使用者的员工对应。英语不自信也没问题。</t>
  </si>
  <si>
    <t>No Experience·迷い Welcome</t>
  </si>
  <si>
    <t>没有经验或还在犹豫的朋友都欢迎。</t>
  </si>
  <si>
    <t>无经验·犹豫 欢迎</t>
  </si>
  <si>
    <t>Work experience有无不问。还没decide转职也OK。</t>
  </si>
  <si>
    <t>有无工作经验都可以，没决定是否转职也没关系。</t>
  </si>
  <si>
    <t>工作经验有无不问。还没决定转职也OK。</t>
  </si>
  <si>
    <t>CTA Button</t>
  </si>
  <si>
    <t>Book 30分钟面谈</t>
  </si>
  <si>
    <t>预约30分钟面谈</t>
  </si>
  <si>
    <t>CTA Note</t>
  </si>
  <si>
    <t>※ Form submit后，staff会contact你日程adjust。</t>
  </si>
  <si>
    <t>※ 提交表格后，招聘者会联系你调整时间。</t>
  </si>
  <si>
    <t>※ 表单提交后，员工会联系你日程调整。</t>
  </si>
  <si>
    <t>实施Method和当日Flow</t>
  </si>
  <si>
    <t>实施方式和当天流程</t>
  </si>
  <si>
    <t>实施方法和当日流程</t>
  </si>
  <si>
    <t>Online完结。Smooth参加。</t>
  </si>
  <si>
    <t>全程线上完成，参与轻松顺畅。</t>
  </si>
  <si>
    <t>线上完结。顺畅参加。</t>
  </si>
  <si>
    <t>Step</t>
  </si>
  <si>
    <t>从Form Apply</t>
  </si>
  <si>
    <t>从表格申请开始</t>
  </si>
  <si>
    <t>从表单申请</t>
  </si>
  <si>
    <t>Simple项目input然后submit。</t>
  </si>
  <si>
    <t>填写简单资料然后提交</t>
  </si>
  <si>
    <t>简单项目输入然后提交。</t>
  </si>
  <si>
    <t>Receive Teams Link</t>
  </si>
  <si>
    <t>收到 Teams 链接</t>
  </si>
  <si>
    <t>收到Teams链接</t>
  </si>
  <si>
    <t>Staff会日程adjust和meeting URL guide。</t>
  </si>
  <si>
    <t>招聘者会帮你安排时间并提供会议链接</t>
  </si>
  <si>
    <t>员工会日程调整和会议URL指引。</t>
  </si>
  <si>
    <t>华语30分钟Consult</t>
  </si>
  <si>
    <t>华语30分钟咨询</t>
  </si>
  <si>
    <t>Depend on你的situation，work·life的疑问answer。</t>
  </si>
  <si>
    <t>根据你的情况，解答工作和生活相关疑问</t>
  </si>
  <si>
    <t>根据你的情况，工作·生活的疑问回答。</t>
  </si>
  <si>
    <t>Agenda</t>
  </si>
  <si>
    <t>Sample Agenda（30分钟）</t>
  </si>
  <si>
    <t>30分钟参考流程</t>
  </si>
  <si>
    <t>样本议程（30分钟）</t>
  </si>
  <si>
    <t>Agenda Item</t>
  </si>
  <si>
    <t>自我介绍（你的希望·experience share）</t>
  </si>
  <si>
    <t>自我介绍（分享你的期望和经验）</t>
  </si>
  <si>
    <t>自我介绍（你的希望·经验分享）</t>
  </si>
  <si>
    <t>Work／work style的explain</t>
  </si>
  <si>
    <t>讲解工作内容和工作方式</t>
  </si>
  <si>
    <t>工作／工作方式的说明</t>
  </si>
  <si>
    <t>Life cost·住所的basic info</t>
  </si>
  <si>
    <t>生活成本和住宿基本信息</t>
  </si>
  <si>
    <t>生活费·住所的基本信息</t>
  </si>
  <si>
    <t>Selection process的flow（希望的人only）</t>
  </si>
  <si>
    <t>招聘流程说明（仅限有兴趣的人</t>
  </si>
  <si>
    <t>选拔流程的说明（希望的人才有）</t>
  </si>
  <si>
    <t>选拔流程的说明（仅限有兴趣的人）</t>
  </si>
  <si>
    <t>Q&amp;A／next step guide</t>
  </si>
  <si>
    <t>问答环节及下一步指导</t>
  </si>
  <si>
    <t>问答／下一步指引</t>
  </si>
  <si>
    <t>Topics</t>
  </si>
  <si>
    <t>可以Consult的Topic</t>
  </si>
  <si>
    <t>可咨询的主题</t>
  </si>
  <si>
    <t>可以咨询的话题</t>
  </si>
  <si>
    <t>Topics Item</t>
  </si>
  <si>
    <t>Work：华语position的type等</t>
  </si>
  <si>
    <t>工作：华语职位类型等</t>
  </si>
  <si>
    <t>工作：华语职位的类型等</t>
  </si>
  <si>
    <t>Work style：Shift／work type等</t>
  </si>
  <si>
    <t>工作方式：轮班/工作类型等</t>
  </si>
  <si>
    <t>工作方式：轮班／工作形态等</t>
  </si>
  <si>
    <t>Life cost：Food·transport·rent的目安</t>
  </si>
  <si>
    <t>生活成本：饮食、交通、租金参考</t>
  </si>
  <si>
    <t>生活费：餐饮·交通·租金的参考</t>
  </si>
  <si>
    <t>住所：Property type和找房basic</t>
  </si>
  <si>
    <t>住宿：房型及找房基础信息</t>
  </si>
  <si>
    <t>住所：房产类型和找房基本</t>
  </si>
  <si>
    <t>Now Book（Free）</t>
  </si>
  <si>
    <t>立即预约（免费）</t>
  </si>
  <si>
    <t>负责Team（华语对应）</t>
  </si>
  <si>
    <t>负责团队（华语支持）</t>
  </si>
  <si>
    <t>负责团队（华语对应）</t>
  </si>
  <si>
    <t>从apply到入职，华语伴走。</t>
  </si>
  <si>
    <t>从申请到入职，全程有华语陪伴</t>
  </si>
  <si>
    <t>从申请到入职，华语陪伴。</t>
  </si>
  <si>
    <t>Team Member</t>
  </si>
  <si>
    <t>招聘Staff</t>
  </si>
  <si>
    <t>招聘工作人员</t>
  </si>
  <si>
    <t>招聘员工</t>
  </si>
  <si>
    <t>Submit面谈Form →</t>
  </si>
  <si>
    <t>提交面谈表格 →</t>
  </si>
  <si>
    <t>提交面谈表单 →</t>
  </si>
  <si>
    <t>FAQ Title</t>
  </si>
  <si>
    <t>FAQ（Casual Chat）</t>
  </si>
  <si>
    <t>FAQ （随意聊天）</t>
  </si>
  <si>
    <t>常见问题（休闲面谈）</t>
  </si>
  <si>
    <t>FAQ Q</t>
  </si>
  <si>
    <t>Q. 面谈是interview吗？</t>
  </si>
  <si>
    <t>Q. 面谈是面试吗？</t>
  </si>
  <si>
    <t>FAQ A</t>
  </si>
  <si>
    <t>不是。不进行pass/fail判断。Information提供和consult的场。</t>
  </si>
  <si>
    <t>不是。不进行pass/fail判断。只是提供信息和咨询的轻松场合。。</t>
  </si>
  <si>
    <t>不是。不进行通过/不通过判断。信息提供和咨询的场合。</t>
  </si>
  <si>
    <t>Q. 所需时间approximately多久？</t>
  </si>
  <si>
    <t>Q：大概需要多久？</t>
  </si>
  <si>
    <t>Q. 所需时间大约多久？</t>
  </si>
  <si>
    <t>目安是30分钟（Microsoft Teams）。</t>
  </si>
  <si>
    <t>大约30分钟（Microsoft Teams）</t>
  </si>
  <si>
    <t>参考是30分钟（Microsoft Teams）。</t>
  </si>
  <si>
    <t>Q. English不confident也OK？</t>
  </si>
  <si>
    <t>Q:英文不自信也可以吗？</t>
  </si>
  <si>
    <t>Q. 英语不自信也OK？</t>
  </si>
  <si>
    <t>华语guide。English不confident也no problem。</t>
  </si>
  <si>
    <t>有华语进行沟通，英文不自信也没问题</t>
  </si>
  <si>
    <t>华语指引。英语不自信也没问题。</t>
  </si>
  <si>
    <t>Q. 还没decide转职。</t>
  </si>
  <si>
    <t>Q:还没决定转职怎么办？</t>
  </si>
  <si>
    <t>Q. 还没决定转职。</t>
  </si>
  <si>
    <t>No problem。Information收集和考虑阶段也easy参加。</t>
  </si>
  <si>
    <t>没问题。收集信息和考虑阶段也可以轻松参与</t>
  </si>
  <si>
    <t>没问题。信息收集和考虑阶段也轻松参加。</t>
  </si>
  <si>
    <t>Book Now</t>
  </si>
  <si>
    <t>立即预约</t>
  </si>
  <si>
    <t>最新info是 LINE Official Account 也发信中。</t>
  </si>
  <si>
    <t>最新信息也会通过 LINE 官方账号发送</t>
  </si>
  <si>
    <t>最新信息在 LINE官方账号 也发布中。</t>
  </si>
  <si>
    <t>Casual Chat</t>
  </si>
  <si>
    <t>休闲面谈</t>
  </si>
  <si>
    <t>Cost of Living</t>
  </si>
  <si>
    <t>生活成本 | TP招聘 马来西亚·泰国</t>
  </si>
  <si>
    <t>生活成本</t>
  </si>
  <si>
    <t>同样的工资，在马来西亚可以过得更舒适、更自由。用更少的钱，享受更好的生活品质。</t>
  </si>
  <si>
    <t>同样的收入，在马来西亚生活会更宽裕。低成本、高质量、更自由的生活方式。</t>
  </si>
  <si>
    <t>移居支持</t>
  </si>
  <si>
    <t>移居协助</t>
  </si>
  <si>
    <t>快速对比（费用/中国/马来西亚）</t>
  </si>
  <si>
    <t>快速对比（项目/中国/马来西亚）</t>
  </si>
  <si>
    <t>Table Header</t>
  </si>
  <si>
    <t>中国（北京）</t>
  </si>
  <si>
    <t>中国大陆</t>
  </si>
  <si>
    <t>Table Row</t>
  </si>
  <si>
    <t>家租（1卧）</t>
  </si>
  <si>
    <t>家租（1卧室）</t>
  </si>
  <si>
    <t>一居室月租</t>
  </si>
  <si>
    <t>￥8000-12000+</t>
  </si>
  <si>
    <t>¥8000-12000+</t>
  </si>
  <si>
    <t>RM1700-2500（配24h保安、游泳池、健身房）</t>
  </si>
  <si>
    <t>RM1700-2500（约5400-8000元），含24h保安、游泳池、健身房</t>
  </si>
  <si>
    <t>餐饮（一餐）</t>
  </si>
  <si>
    <t>就餐（一餐）</t>
  </si>
  <si>
    <t>RM10-15</t>
  </si>
  <si>
    <t>RM10-15（约30-50元）</t>
  </si>
  <si>
    <t>交通（月）</t>
  </si>
  <si>
    <t>交通费（月）</t>
  </si>
  <si>
    <t>RM150-300（含轻轨和打车）</t>
  </si>
  <si>
    <t>RM150-300（约480-960元），地铁+打车</t>
  </si>
  <si>
    <t>Table Note</t>
  </si>
  <si>
    <t>物价便宜，同工资可以过得更舒适。</t>
  </si>
  <si>
    <t>汇率参考：1RM≈3.2元。具体费用根据生活方式变化。</t>
  </si>
  <si>
    <t>月度预算范例</t>
  </si>
  <si>
    <t>Budget Card</t>
  </si>
  <si>
    <t>单身，吉隆坡（1卧）</t>
  </si>
  <si>
    <t>单身住户，吉隆坡</t>
  </si>
  <si>
    <t>单身，槟城（1卧）</t>
  </si>
  <si>
    <t>单身住户，槟城</t>
  </si>
  <si>
    <t>情侣，吉隆坡（2卧）</t>
  </si>
  <si>
    <t>两人共居，吉隆坡</t>
  </si>
  <si>
    <t>Budget Note</t>
  </si>
  <si>
    <t>以上仅为参考。具体费用因生活方式和汇率而异。</t>
  </si>
  <si>
    <t>以上数字仅供参考，具体费用因人而异。</t>
  </si>
  <si>
    <t>Housing Note</t>
  </si>
  <si>
    <t>价格范围：RM1500-2500/月就能住上带游泳池和健身房的高档公寓！</t>
  </si>
  <si>
    <t>价格参考：RM1500-2500/月（5000-8000元）就能住上带游泳池、健身房的高档公寓。</t>
  </si>
  <si>
    <t>Voice</t>
  </si>
  <si>
    <t>"成本低，反而让我的生活质量更高了。能随时约朋友喝咖啡，周末去旅游。"</t>
  </si>
  <si>
    <t>"物价便宜，生活反而更丰富了。咖啡随便喝，周末说走就走。"</t>
  </si>
  <si>
    <t>"家里有游泳池和健身房，工作再累也能快速放松。在北京是不敢想的。"</t>
  </si>
  <si>
    <t>"公寓有游泳池和健身房，工作压力瞬间放松。这在国内是不敢想的。"</t>
  </si>
  <si>
    <t>"省下来的钱可以用于旅行和自我投资。人生选择变多了。"</t>
  </si>
  <si>
    <t>"省下的钱可以用于旅游和自我提升。生活变得更从容。"</t>
  </si>
  <si>
    <t>"周末打打车去郊外，成本只是北京的零头。自由度真的不一样。"</t>
  </si>
  <si>
    <t>"周末打车兜风，成本只是国内的几分之一。自由度完全不同。"</t>
  </si>
  <si>
    <t>Tips Title</t>
  </si>
  <si>
    <t>节省生活成本的秘诀</t>
  </si>
  <si>
    <t>降低生活成本的方法</t>
  </si>
  <si>
    <t>Tips Card</t>
  </si>
  <si>
    <t>选择靠近工作地的住房</t>
  </si>
  <si>
    <t>住处靠近工作地</t>
  </si>
  <si>
    <t>居住地点临近工作地点</t>
  </si>
  <si>
    <t>轻轨沿线的公寓降低交通成本。Grab费用也会减少。</t>
  </si>
  <si>
    <t>地铁沿线的公寓减少交通支出。打车费用也会大幅下降。</t>
  </si>
  <si>
    <t>善用本地美食和食阁</t>
  </si>
  <si>
    <t>尝试本地美食和食堂</t>
  </si>
  <si>
    <t>街边小摊和美食广场的食物便宜又好吃。既省钱又有本地体验。</t>
  </si>
  <si>
    <t>小食摊和美食广场价格实惠又地道。既省钱又能尝试当地风味。</t>
  </si>
  <si>
    <t>合理选择通讯套餐</t>
  </si>
  <si>
    <t>选择合适的通讯套餐</t>
  </si>
  <si>
    <t>选择合适的通信套餐</t>
  </si>
  <si>
    <t>预付套餐和低价方案很常见。根据实际使用来选择。</t>
  </si>
  <si>
    <t>预付卡和低价套餐选择多。根据自己需求灵活选择。</t>
  </si>
  <si>
    <t>预付卡和优惠套餐种类多样，可灵活搭配</t>
  </si>
  <si>
    <t>华语职位众多，欢迎应届生和职场新人申请。</t>
  </si>
  <si>
    <t>华语岗位丰富，欢迎应届毕业生和初阶职场人士。</t>
  </si>
  <si>
    <t>从工作签证到初期住所，全程日语协助。安心转移到异国生活。</t>
  </si>
  <si>
    <t>从工作签证到初期住所，全程中文协助。安心转移到异国生活。</t>
  </si>
  <si>
    <t>工作签证申请、住所安排、各项手续日语全程协助。</t>
  </si>
  <si>
    <t>工作签证申请、住所安排、各项手续中文全程协助。</t>
  </si>
  <si>
    <t>非正式面试，就是了解情况。用日语或中文提问都可以。</t>
  </si>
  <si>
    <t>非正式面试，就是友好沟通。用日语或中文都没问题。</t>
  </si>
  <si>
    <t>非正式面试，就是友好沟通。用中文都没问题。</t>
  </si>
  <si>
    <t>Daily Life Malaysia</t>
  </si>
  <si>
    <t>当地生活 | TP招聘 马来西亚·泰国</t>
  </si>
  <si>
    <t>(to be filled)</t>
  </si>
  <si>
    <t>薪资待遇</t>
  </si>
  <si>
    <t>工作签证</t>
  </si>
  <si>
    <t>当地Life（Food·Transport·住所）/ Daily Life in Malaysia</t>
  </si>
  <si>
    <t>本地生活（饮食 · 交通 · 住宿） / 马来西亚日常生活</t>
  </si>
  <si>
    <t>当地生活（餐饮·交通·住所）/ Daily Life in Malaysia</t>
  </si>
  <si>
    <t>Compare China更"有余裕"的life可以feel的country，Malaysia。这里，food、transport、住所、medical、weekend到，life的全貌introduce。</t>
  </si>
  <si>
    <t>相比中国节奏较快的生活，马来西亚整体生活更轻松和余裕。在这里，从饮食、交通、住宿、医疗到周末休闲，都能感受到相对舒适、自在的生活方式。本篇将带你了解在马来西亚的日常生活样貌。</t>
  </si>
  <si>
    <t>比中国更"有余裕"的生活可以感受的国家，马来西亚。这里，餐饮、交通、住所、医疗、周末到，生活的全貌介绍。</t>
  </si>
  <si>
    <t>View Jobs</t>
  </si>
  <si>
    <t>查看工作机会</t>
  </si>
  <si>
    <t>Relocation Support</t>
  </si>
  <si>
    <t>搬迁协助</t>
  </si>
  <si>
    <t>搬迁支持</t>
  </si>
  <si>
    <t>Food</t>
  </si>
  <si>
    <t>餐饮</t>
  </si>
  <si>
    <t>Transport</t>
  </si>
  <si>
    <t>交通</t>
  </si>
  <si>
    <t>Medical·Safety</t>
  </si>
  <si>
    <t>医疗</t>
  </si>
  <si>
    <t>医疗·安全</t>
  </si>
  <si>
    <t>Shopping</t>
  </si>
  <si>
    <t>Weekend</t>
  </si>
  <si>
    <t>周末</t>
  </si>
  <si>
    <t>Tips</t>
  </si>
  <si>
    <t>生活小贴士</t>
  </si>
  <si>
    <t>小贴士</t>
  </si>
  <si>
    <t>Next Step</t>
  </si>
  <si>
    <t>下一步</t>
  </si>
  <si>
    <t>Food Section</t>
  </si>
  <si>
    <t>Food：Local也Chinese food也'affordable价格'</t>
  </si>
  <si>
    <t>饮食：从马来西亚地道美食到中式料理，整体消费相对可负担</t>
  </si>
  <si>
    <t>餐饮：当地也中餐也'实惠价格'</t>
  </si>
  <si>
    <t>Food Card</t>
  </si>
  <si>
    <t>Multinational Gourmet是Daily</t>
  </si>
  <si>
    <t xml:space="preserve">饮食篇：国际料理
</t>
  </si>
  <si>
    <t>多国美食是日常</t>
  </si>
  <si>
    <t>Malay／Chinese／Indian／hawker加上，Korean·Western·Japanese food到wide range可以choose。华人food especially complete。</t>
  </si>
  <si>
    <t>马来餐、华人餐、印度餐、路边小吃，以及韩、日、西料理应有尽有， 华人餐尤其丰盛齐全，</t>
  </si>
  <si>
    <t>马来／中华／印度／小贩加上，韩国·西餐·日本料理到广泛范围可以选择。华人餐饮特别完善。</t>
  </si>
  <si>
    <t>Price目安（KL）</t>
  </si>
  <si>
    <t>价格参考（吉隆坡）</t>
  </si>
  <si>
    <t>价格参考（KL）</t>
  </si>
  <si>
    <t>Food Table</t>
  </si>
  <si>
    <t>Category</t>
  </si>
  <si>
    <t>食物种类</t>
  </si>
  <si>
    <t>类别</t>
  </si>
  <si>
    <t>目安</t>
  </si>
  <si>
    <t>食物参考</t>
  </si>
  <si>
    <t>参考</t>
  </si>
  <si>
    <t>Hawker·Local食堂</t>
  </si>
  <si>
    <t>当地食堂，小贩</t>
  </si>
  <si>
    <t>小贩·当地食堂</t>
  </si>
  <si>
    <t>Cafe系Lunch</t>
  </si>
  <si>
    <t>Cafe 午餐</t>
  </si>
  <si>
    <t>咖啡馆系午餐</t>
  </si>
  <si>
    <t>咖啡馆午餐</t>
  </si>
  <si>
    <t>Cafe的Coffee</t>
  </si>
  <si>
    <t>Cafe 咖啡</t>
  </si>
  <si>
    <t>咖啡馆的咖啡</t>
  </si>
  <si>
    <t>咖啡馆咖啡</t>
  </si>
  <si>
    <t>Food Note</t>
  </si>
  <si>
    <t>※Display price是reference price。</t>
  </si>
  <si>
    <t>价格仅作参考</t>
  </si>
  <si>
    <t>※显示价格是参考价格。</t>
  </si>
  <si>
    <t>华人Food Material购买Place Complete</t>
  </si>
  <si>
    <t>华人食材购买地点齐全</t>
  </si>
  <si>
    <t>华人食材购买地点完善</t>
  </si>
  <si>
    <t>KL是AEON／Village Grocer／NSK等，Chinese supermarket complete。Bangkok是华人超市等很多。</t>
  </si>
  <si>
    <t>吉隆坡有 AEON、Village Grocer、NSK 等超市，华人超市；
曼谷华人超市更多样，食材非常丰富。</t>
  </si>
  <si>
    <t>KL是AEON／Village Grocer／NSK等，华人超市完善。曼谷是华人超市等很多。</t>
  </si>
  <si>
    <t>Transport Section</t>
  </si>
  <si>
    <t>Transport：电车＋Grab轻松Move</t>
  </si>
  <si>
    <t>交通篇：电车＋Grab轻松出行</t>
  </si>
  <si>
    <t>交通：电车＋Grab轻松移动</t>
  </si>
  <si>
    <t>Transport Card</t>
  </si>
  <si>
    <t>Public Transport &amp; Ride-hailing App</t>
  </si>
  <si>
    <t>公共交通 &amp; 网约车</t>
  </si>
  <si>
    <t>公共交通和叫车软件</t>
  </si>
  <si>
    <t>Transport List</t>
  </si>
  <si>
    <t>LRT／MRT／Monorail cover main area。</t>
  </si>
  <si>
    <t>LRT / MRT / Monorail 覆盖主要区域</t>
  </si>
  <si>
    <t>LRT／MRT／单轨覆盖主要区域。</t>
  </si>
  <si>
    <t>Door to door是Grab很convenient &amp; affordable。</t>
  </si>
  <si>
    <t xml:space="preserve">点到点出行，Grab 方便又实惠
</t>
  </si>
  <si>
    <t>门到门是Grab很方便又实惠。</t>
  </si>
  <si>
    <t>Monthly total是几百块level可以控制的case很多。</t>
  </si>
  <si>
    <t>月花费马币几百块，可轻松控制</t>
  </si>
  <si>
    <t>月度总计是几百块水平可以控制的情况很多。</t>
  </si>
  <si>
    <t>Commute TIPS</t>
  </si>
  <si>
    <t>通勤小贴士</t>
  </si>
  <si>
    <t>Tips List</t>
  </si>
  <si>
    <t>沿线（near station）or workplace near住的话transport cost &amp; time save。</t>
  </si>
  <si>
    <t>住在沿线车站或工作附近，省时又省交通费</t>
  </si>
  <si>
    <t>沿线（近站）或工作地点附近住的话交通费和时间节省。</t>
  </si>
  <si>
    <t>Peak time是Grab的price up，错峰commute也consider。</t>
  </si>
  <si>
    <t>高峰时段 Grab 涨价，可错峰通勤</t>
  </si>
  <si>
    <t>高峰时间是Grab的价格上涨，错峰通勤也考虑。</t>
  </si>
  <si>
    <t>短distance是walk＋电车，回家时only Grab等smart combine。</t>
  </si>
  <si>
    <t xml:space="preserve">短距离可步行＋轻轨，回家时用 Grab 明智的选择
</t>
  </si>
  <si>
    <t>短距离是步行＋电车，回家时只用Grab等聪明组合。</t>
  </si>
  <si>
    <t>Housing Section</t>
  </si>
  <si>
    <t>住所：设备'Included'是Standard。马上Comfortable Life</t>
  </si>
  <si>
    <t>住所篇：基本设备齐全，生活便利舒适</t>
  </si>
  <si>
    <t>住所：设备'包含'是标准。马上舒适生活</t>
  </si>
  <si>
    <t>Housing Lead</t>
  </si>
  <si>
    <t>Furniture appliance付·24h security·Pool / Gym等是'理所当然'。</t>
  </si>
  <si>
    <t>家具电器、24小时保安、泳池/健身房，都是基本配套</t>
  </si>
  <si>
    <t>家具家电付·24小时保安·泳池 / 健身房等是'理所当然'。</t>
  </si>
  <si>
    <t>Housing Card</t>
  </si>
  <si>
    <t>Property的Feature</t>
  </si>
  <si>
    <t>房产设施</t>
  </si>
  <si>
    <t>房产的特色</t>
  </si>
  <si>
    <t>Housing List</t>
  </si>
  <si>
    <t>Furniture·appliance（full furnished）付</t>
  </si>
  <si>
    <t>家具电器齐全</t>
  </si>
  <si>
    <t>家具·家电（全配）付</t>
  </si>
  <si>
    <t>24 hour security &amp; gate</t>
  </si>
  <si>
    <t>24小时保安和门禁</t>
  </si>
  <si>
    <t>Common facility：Pool／Gym／Sauna／BBQ／Lounge／Coworking等</t>
  </si>
  <si>
    <t>公共设施：泳池／健身房／桑拿／烧烤／休息室／共享办公等</t>
  </si>
  <si>
    <t>Parking 1台included的property也很多</t>
  </si>
  <si>
    <t>多数物业包含 1 个停车位</t>
  </si>
  <si>
    <t>停车位1个包含的房产也很多</t>
  </si>
  <si>
    <t>Area的Image（KL/Penang）</t>
  </si>
  <si>
    <t>区域图片（KL / Penang</t>
  </si>
  <si>
    <t>区域的印象（KL/槟城）</t>
  </si>
  <si>
    <t>区域图片（吉隆坡 / 槟城）</t>
  </si>
  <si>
    <t>Housing Table</t>
  </si>
  <si>
    <t>City</t>
  </si>
  <si>
    <t>城市</t>
  </si>
  <si>
    <t>Area</t>
  </si>
  <si>
    <t>区域</t>
  </si>
  <si>
    <t>Atmosphere</t>
  </si>
  <si>
    <t>氛围</t>
  </si>
  <si>
    <t>Expat多·高级condo·life convenience◎</t>
  </si>
  <si>
    <t>外籍人士多，高级公寓，生活便利</t>
  </si>
  <si>
    <t>外籍人士多·高级公寓·生活便利◎</t>
  </si>
  <si>
    <t>Downtown·最新property·commute access◎</t>
  </si>
  <si>
    <t>市中心 · 新房产 · 交通便利</t>
  </si>
  <si>
    <t>市中心·最新房产·通勤便利◎</t>
  </si>
  <si>
    <t>历史district near·food complete·热闹</t>
  </si>
  <si>
    <t>历史街区 · 美食齐全 · 热闹非凡</t>
  </si>
  <si>
    <t>历史区近·餐饮完善·热闹</t>
  </si>
  <si>
    <t>Airport·工业园near·quiet</t>
  </si>
  <si>
    <t>机场/工业园附近 · 环境安静</t>
  </si>
  <si>
    <t>机场·工业园近·安静</t>
  </si>
  <si>
    <t>Rent相场（1LDK）</t>
  </si>
  <si>
    <t>租金参考（1 房 1 厅 ）</t>
  </si>
  <si>
    <t>租金行情（一室一厅）</t>
  </si>
  <si>
    <t>租金参考（1室 1 厅 ）</t>
  </si>
  <si>
    <t>相场</t>
  </si>
  <si>
    <t>行情</t>
  </si>
  <si>
    <t>Penang</t>
  </si>
  <si>
    <t>槟城</t>
  </si>
  <si>
    <t>compare KL slightly低</t>
  </si>
  <si>
    <t>相比吉隆坡，稍低</t>
  </si>
  <si>
    <t>比KL略低</t>
  </si>
  <si>
    <t>※ Reference：depend on property·facility变动。</t>
  </si>
  <si>
    <t>仅供参考：视物业及设施而定</t>
  </si>
  <si>
    <t>※ 参考：根据房产·设施变动。</t>
  </si>
  <si>
    <t>Callout</t>
  </si>
  <si>
    <t>入住的Flow（Example）</t>
  </si>
  <si>
    <t>入住流程</t>
  </si>
  <si>
    <t>入住的流程（例）</t>
  </si>
  <si>
    <t>Arrival后hotel（company提供·Malaysia）stay期间viewing → apply·contract → move in。华语staff会agent introduction·contract的advice到support。</t>
  </si>
  <si>
    <t>抵达后：酒店住宿 → 看房 → 申请 → 签约 → 入住
华语团队提供中介介绍与合同支持</t>
  </si>
  <si>
    <t>到达后酒店（公司提供·马来西亚）住宿期间看房 → 申请·合同 → 入住。华语员工会中介介绍·合同的建议到支持。</t>
  </si>
  <si>
    <t>Healthcare Section</t>
  </si>
  <si>
    <t>Medical·Safety：华语Service的Medical Facility也Multiple</t>
  </si>
  <si>
    <t>医疗与安全：提供华语服务</t>
  </si>
  <si>
    <t>医疗·安全：华语服务的医疗设施也多个</t>
  </si>
  <si>
    <t>Healthcare Card</t>
  </si>
  <si>
    <t>Medical</t>
  </si>
  <si>
    <t>Medical水准高，KL/Penang都有华语service的hospital·clinic multiple。Company的medical insurance也complete安心。</t>
  </si>
  <si>
    <t>医疗水准高 · 华语服务医院/诊所多 · 医疗保险完善</t>
  </si>
  <si>
    <t>医疗水准高，KL/槟城都有华语服务的医院·诊所多个。公司的医疗保险也完善安心。</t>
  </si>
  <si>
    <t>Safety</t>
  </si>
  <si>
    <t>安全</t>
  </si>
  <si>
    <t>Safety List</t>
  </si>
  <si>
    <t>治安relatively stable。Basic的security意识necessary。</t>
  </si>
  <si>
    <t>治安稳定 · 保持基本安全意识</t>
  </si>
  <si>
    <t>治安相对稳定。基本的安全意识必要。</t>
  </si>
  <si>
    <t>Night是bright的road·人多的area choose。</t>
  </si>
  <si>
    <t>夜间出行：选亮路段、人多区域</t>
  </si>
  <si>
    <t>夜间是明亮的道路·人多的区域选择。</t>
  </si>
  <si>
    <t>Grab的pickup pin accurate。Bag是body前面。</t>
  </si>
  <si>
    <t>Grab 上车：定位准确 · 背包放前方</t>
  </si>
  <si>
    <t>Grab的接车定位准确。包是身体前面。</t>
  </si>
  <si>
    <t>Shopping Section</t>
  </si>
  <si>
    <t>Shopping·Service：Mall天国 &amp; Chinese Shop也Complete</t>
  </si>
  <si>
    <t>购物与服务：购物天堂 · 华人商店齐全</t>
  </si>
  <si>
    <t>购物·服务：商场天国和华人店也完善</t>
  </si>
  <si>
    <t>Shopping Card</t>
  </si>
  <si>
    <t>Giant mall·supermarket点在。KLCC、Pavilion、Mid Valley等'what ever都有'environment。</t>
  </si>
  <si>
    <t xml:space="preserve">
大型商场与超市随处可见
吉隆坡（KL）有 KLCC、Pavilion、Mid Valley 等大型商场
超市 有Giant, Lotus
</t>
  </si>
  <si>
    <t>大型商场·超市遍布。KLCC、Pavilion、Mid Valley等'什么都有'环境。</t>
  </si>
  <si>
    <t>Communication</t>
  </si>
  <si>
    <t>通讯</t>
  </si>
  <si>
    <t>Mobile是prepaid和low price plan complete。Home是fiber broadband comfortable。</t>
  </si>
  <si>
    <t>手机预付卡齐全 · 光纤宽带稳定</t>
  </si>
  <si>
    <t>手机是预付费和低价套餐完善。家里是光纤宽带舒适。</t>
  </si>
  <si>
    <t>Chinese Store</t>
  </si>
  <si>
    <t>华人店铺</t>
  </si>
  <si>
    <t>Chinese supermarket、Chinese restaurant也very多（KL）。Hometown的taste easy to find。</t>
  </si>
  <si>
    <t>华人超市/中餐馆多 · 家乡味轻松找</t>
  </si>
  <si>
    <t>华人超市、中餐厅也非常多（KL）。家乡的味道容易找到。</t>
  </si>
  <si>
    <t>Leisure Section</t>
  </si>
  <si>
    <t>Weekend和Activity：Sea也Mountain也'马上那里'</t>
  </si>
  <si>
    <t>周末和活动</t>
  </si>
  <si>
    <t>周末和活动：海也山也'马上那里'</t>
  </si>
  <si>
    <t>Leisure Lead</t>
  </si>
  <si>
    <t>Running·yoga·hiking·beach·night market…Off也active过。</t>
  </si>
  <si>
    <t>跑步·瑜伽·登山·海滩·夜市 … 休闲同样精彩</t>
  </si>
  <si>
    <t>跑步·瑜伽·徒步·海滩·夜市…休息日也积极过。</t>
  </si>
  <si>
    <t>Leisure Card</t>
  </si>
  <si>
    <t>Weekend Resort</t>
  </si>
  <si>
    <t>周末度假</t>
  </si>
  <si>
    <t>Leisure List</t>
  </si>
  <si>
    <t>Langkawi／Redang／Penang等island resort</t>
  </si>
  <si>
    <t>兰卡威／热浪岛／槟城等岛屿度假</t>
  </si>
  <si>
    <t>Grab＋short distance flight easy travel</t>
  </si>
  <si>
    <t>Grab + 短程航班 · 出行轻松</t>
  </si>
  <si>
    <t>Grab＋短途飞行轻松旅行</t>
  </si>
  <si>
    <t>Nearby Country也Near</t>
  </si>
  <si>
    <t>周边国家近 · 出行便利</t>
  </si>
  <si>
    <t>邻近国家也近</t>
  </si>
  <si>
    <t>LCC（AirAsia）Singapore／Vietnam／Bali／Taiwan等2〜4 hour圈内。Weekend海外trip也日常。</t>
  </si>
  <si>
    <t>廉航覆盖周边国家，周末轻松出游
新加坡／越南／巴厘岛／台湾</t>
  </si>
  <si>
    <t>廉航（AirAsia）新加坡／越南／巴厘岛／台湾等2〜4小时圈内。周末海外旅行也日常。</t>
  </si>
  <si>
    <t>Cafe &amp; Food</t>
  </si>
  <si>
    <t>咖啡馆·美食</t>
  </si>
  <si>
    <t>咖啡馆和美食</t>
  </si>
  <si>
    <t>Eating out是'daily price'。New店explore的fun endless。</t>
  </si>
  <si>
    <t>外出用餐：日常价格亲民 · 新店探索乐趣多</t>
  </si>
  <si>
    <t>外出就餐是'日常价格'。新店探索的乐趣无穷。</t>
  </si>
  <si>
    <t>Tips Section</t>
  </si>
  <si>
    <t>Life TIPS：Initial Cost抑制Comfortable Start</t>
  </si>
  <si>
    <t>生活小贴士：控制初期开销，轻松开启舒适生活</t>
  </si>
  <si>
    <t>生活小贴士：初期费用控制舒适开始</t>
  </si>
  <si>
    <t>House Hunting</t>
  </si>
  <si>
    <t>看房 / 找房</t>
  </si>
  <si>
    <t>找房</t>
  </si>
  <si>
    <t>Arrival后hotel stay期间viewing→apply smooth。Near station·near workplace，facility的priority决定好的话efficient。</t>
  </si>
  <si>
    <t>抵达酒店后
看房顺利 · 靠近地铁/工作 · 设施优先决定效率</t>
  </si>
  <si>
    <t>到达后酒店住宿期间看房→申请顺畅。近站·近工作地点，设施的优先顺序决定好的话效率高。</t>
  </si>
  <si>
    <t>Payment</t>
  </si>
  <si>
    <t>支付方式</t>
  </si>
  <si>
    <t>支付</t>
  </si>
  <si>
    <t>Card &amp; QR payment普及。Rent是bank transfer general。Cash是small amount常备。</t>
  </si>
  <si>
    <t>刷卡/QR 普及 · 房租银行转账 · 现金少量备用</t>
  </si>
  <si>
    <t>卡和QR支付普及。租金是银行转账一般。现金是少量常备。</t>
  </si>
  <si>
    <t>Community</t>
  </si>
  <si>
    <t>社区</t>
  </si>
  <si>
    <t>Company event和hobby community参加的话，life info和friend increase更安心。</t>
  </si>
  <si>
    <t>公司活动和兴趣社区参加的话，生活信息和朋友增加更安心。</t>
  </si>
  <si>
    <t>CTA Section</t>
  </si>
  <si>
    <t>华语position very多。No experience OK的job也有。</t>
  </si>
  <si>
    <t>华语岗位多，新手也可应聘</t>
  </si>
  <si>
    <t>华语职位非常多。无经验OK的工作也有。</t>
  </si>
  <si>
    <t>Job List</t>
  </si>
  <si>
    <t>Relocation·Visa Support</t>
  </si>
  <si>
    <t>搬迁及签证协助</t>
  </si>
  <si>
    <t>搬迁·签证支持</t>
  </si>
  <si>
    <t>Work visa、arrival后hotel、airport transfer等华语support。</t>
  </si>
  <si>
    <t>工作签证、到达后酒店、机场接送等华语支持。</t>
  </si>
  <si>
    <t>View Support</t>
  </si>
  <si>
    <t>浏览支持</t>
  </si>
  <si>
    <t>查看支持</t>
  </si>
  <si>
    <t>Casual Chat（华语）</t>
  </si>
  <si>
    <t>休闲面谈（华语）</t>
  </si>
  <si>
    <t>不是selection。Life·work的疑问30分钟easy consult。</t>
  </si>
  <si>
    <t>生活/工作疑问，30 分钟即可轻松咨询</t>
  </si>
  <si>
    <t>不是选拔。生活·工作的疑问30分钟轻松咨询。</t>
  </si>
  <si>
    <t>Page</t>
  </si>
  <si>
    <t>Title</t>
  </si>
  <si>
    <t>URL</t>
  </si>
  <si>
    <t>Items</t>
  </si>
  <si>
    <t>Status</t>
  </si>
  <si>
    <t>Last Updated</t>
  </si>
  <si>
    <t>#</t>
  </si>
  <si>
    <t>Nav</t>
  </si>
  <si>
    <t>我们的中文团队会一路陪伴你。从申请到入职，全程关怀和支持。</t>
  </si>
  <si>
    <t>华语招聘团队全程协助。从投递简历到成功入职，每一步都有专业指导。</t>
  </si>
  <si>
    <t>轻松对话</t>
  </si>
  <si>
    <t>面试次数</t>
  </si>
  <si>
    <t>2-3轮</t>
  </si>
  <si>
    <t>所需时间</t>
  </si>
  <si>
    <t>面试工具</t>
  </si>
  <si>
    <t>Microsoft Teams（会发送链接给你）。准备好安静的环境和稳定网络。</t>
  </si>
  <si>
    <t>Microsoft Teams（发送链接）。需要稳定网络和安静环境。</t>
  </si>
  <si>
    <t>招聘流程（标准步骤）</t>
  </si>
  <si>
    <t>实际流程可能因项目而有调整。</t>
  </si>
  <si>
    <t>具体步骤因项目可能有所不同。</t>
  </si>
  <si>
    <t>Steps</t>
  </si>
  <si>
    <t>提交简历</t>
  </si>
  <si>
    <t>3个工作日</t>
  </si>
  <si>
    <t>招聘官（日语）</t>
  </si>
  <si>
    <t>招聘官面试</t>
  </si>
  <si>
    <t>部门经理面试</t>
  </si>
  <si>
    <t>经理面试</t>
  </si>
  <si>
    <t>语言·技能测试</t>
  </si>
  <si>
    <t>技能评估</t>
  </si>
  <si>
    <t>约1周</t>
  </si>
  <si>
    <t>确定入职日期</t>
  </si>
  <si>
    <t>确认入职</t>
  </si>
  <si>
    <t>在线面试要点</t>
  </si>
  <si>
    <t>进入会议</t>
  </si>
  <si>
    <t>点击发来的Teams链接 &gt; 用你的真实姓名（拼音）进入。</t>
  </si>
  <si>
    <t>点击链接进入，使用真实姓名。</t>
  </si>
  <si>
    <t>前期准备</t>
  </si>
  <si>
    <t>提前10分钟测试摄像头、麦克风、扬声器。背景简洁，关闭通知。</t>
  </si>
  <si>
    <t>提前10分钟检查设备。简洁背景，关闭通知。</t>
  </si>
  <si>
    <t>服装建议</t>
  </si>
  <si>
    <t>整洁的商务休闲服。浅色上衣能更好地展现气色。</t>
  </si>
  <si>
    <t>整洁商务休闲。浅色衣服看起来更精神。</t>
  </si>
  <si>
    <t>常见面试问题</t>
  </si>
  <si>
    <t>FAQ</t>
  </si>
  <si>
    <t>自我介绍和求职动机 +</t>
  </si>
  <si>
    <t>简要经历和应聘理由</t>
  </si>
  <si>
    <t>为什么选择TP和这个地区</t>
  </si>
  <si>
    <t>1年和3年的职业目标</t>
  </si>
  <si>
    <t>客户服务经验 +</t>
  </si>
  <si>
    <t>处理困难客户的具体案例</t>
  </si>
  <si>
    <t>如何确保服务质量</t>
  </si>
  <si>
    <t>收到反馈后的改进方案</t>
  </si>
  <si>
    <t>多元文化和团队协作 +</t>
  </si>
  <si>
    <t>与不同背景同事的合作经验</t>
  </si>
  <si>
    <t>沟通时的注意事项</t>
  </si>
  <si>
    <t>遇到问题时的协调方式</t>
  </si>
  <si>
    <t>语言和电脑技能 +</t>
  </si>
  <si>
    <t>日语商务表达和书面沟通</t>
  </si>
  <si>
    <t>英语使用场景（内部沟通）</t>
  </si>
  <si>
    <t>打字速度和快捷键应用</t>
  </si>
  <si>
    <t>Helper CTA</t>
  </si>
  <si>
    <t>想先了解一下？</t>
  </si>
  <si>
    <t>非正式轻松对话（约30分钟，日语），可以咨询工作、生活、签证等各种问题。</t>
  </si>
  <si>
    <t>轻松对话（30分钟）可以咨询任何问题，用日语或中文都可以。</t>
  </si>
  <si>
    <t>预约轻松对话</t>
  </si>
  <si>
    <t>办公环境</t>
  </si>
  <si>
    <t>Office</t>
  </si>
  <si>
    <t>办公环境 / Office &amp; Work Environment</t>
  </si>
  <si>
    <t>Focus、交流、learning共存的comfortable和safe的workspace。
KL／Penang／Bangkok的office facility和周边environment用photo介绍。</t>
  </si>
  <si>
    <t>专注、交流、学习共存的舒适和安全的工作空间。
KL／槟城／曼谷的办公设施和周边环境用照片介绍。</t>
  </si>
  <si>
    <t>Virtual Tour</t>
  </si>
  <si>
    <t>虚拟导览</t>
  </si>
  <si>
    <t>Filter</t>
  </si>
  <si>
    <t>用Location filter</t>
  </si>
  <si>
    <t>用地点筛选</t>
  </si>
  <si>
    <t>All</t>
  </si>
  <si>
    <t>全部</t>
  </si>
  <si>
    <t>Kuala Lumpur</t>
  </si>
  <si>
    <t>吉隆坡</t>
  </si>
  <si>
    <t>Bangkok</t>
  </si>
  <si>
    <t>曼谷</t>
  </si>
  <si>
    <t>Feature（Common）</t>
  </si>
  <si>
    <t>特色（共通）</t>
  </si>
  <si>
    <t>Smooth onboarding，focus的seat，promote交流的lounge。Security、cleanness、accessibility都有consider。</t>
  </si>
  <si>
    <t>顺畅的入职，专注的座位，促进交流的休息室。安全、清洁、无障碍都有考虑。</t>
  </si>
  <si>
    <t>Workspace</t>
  </si>
  <si>
    <t>工作空间</t>
  </si>
  <si>
    <t>Monitor complete的desk、meeting room、focus booth／phone booth combine，静音性和convenience两立。</t>
  </si>
  <si>
    <t>显示器完备的桌子、会议室、专注隔间／电话隔间组合，静音性和便利性兼顾。</t>
  </si>
  <si>
    <t>Training Facility</t>
  </si>
  <si>
    <t>培训设施</t>
  </si>
  <si>
    <t>Training room、QA room、OJT seat确保。Language Bootcamp / GoFluent等learning support。</t>
  </si>
  <si>
    <t>培训室、QA室、OJT座位确保。Language Bootcamp / GoFluent等学习支持。</t>
  </si>
  <si>
    <t>Pantry &amp; Social</t>
  </si>
  <si>
    <t>茶水间和交流</t>
  </si>
  <si>
    <t>Fridge、microwave、water dispenser等equipped的pantry，team交流产生的casual space配置。</t>
  </si>
  <si>
    <t>冰箱、微波炉、饮水机等配备的茶水间，团队交流产生的休闲空间配置。</t>
  </si>
  <si>
    <t>Security</t>
  </si>
  <si>
    <t>Entry exit management、reception、CCTV。Building的fire safety standard和cleaning也appropriate运用。</t>
  </si>
  <si>
    <t>出入管理、前台、监控摄像。大楼的消防安全标准和清洁也适当运用。</t>
  </si>
  <si>
    <t>Access</t>
  </si>
  <si>
    <t>Near station、mall直结等，public transport和daily convenience重视（KL：MRT/Monorail、Bangkok：BTS/MRT）。</t>
  </si>
  <si>
    <t>近站、商场直通等，公共交通和日常便利性重视（KL：MRT/单轨、曼谷：BTS/MRT）。</t>
  </si>
  <si>
    <t>Multicultural &amp; Flat</t>
  </si>
  <si>
    <t>多元文化和扁平</t>
  </si>
  <si>
    <t>不论nationality、age、gender都互相respect的culture。Great Place to Work®认证location。</t>
  </si>
  <si>
    <t>不论国籍、年龄、性别都互相尊重的文化。Great Place to Work®认证地点。</t>
  </si>
  <si>
    <t>KL Section</t>
  </si>
  <si>
    <t>Kuala Lumpur（KL）</t>
  </si>
  <si>
    <t>吉隆坡（KL）</t>
  </si>
  <si>
    <t>Office的Atmosphere</t>
  </si>
  <si>
    <t>办公室的氛围</t>
  </si>
  <si>
    <t>从Twin Tower步行approximately 10分钟的convenient area location。Nearest station有MRT和LRT两种train通过，station到Office building步行approximately 2分钟。步行range内mall、restaurant、伊势丹和supermarket、gym等，life需要的东西充分equipped的area。</t>
  </si>
  <si>
    <t>从双子塔步行大约10分钟的便利区域位置。最近的站有MRT和LRT两种电车通过，站到办公大楼步行大约2分钟。步行范围内商场、餐厅、伊势丹和超市、健身房等，生活需要的东西充分配备的区域。</t>
  </si>
  <si>
    <t>KL Spec</t>
  </si>
  <si>
    <t>Nearest</t>
  </si>
  <si>
    <t>最近</t>
  </si>
  <si>
    <t>Facility</t>
  </si>
  <si>
    <t>设施</t>
  </si>
  <si>
    <t>Meeting room、training room、pantry（rest room）、billiard table、game、snack和candy销售、fridge、water server、cafe machine等</t>
  </si>
  <si>
    <t>会议室、培训室、茶水间（休息室）、台球桌、游戏、零食和糖果销售、冰箱、饮水机、咖啡机等</t>
  </si>
  <si>
    <t>Surroundings</t>
  </si>
  <si>
    <t>周边</t>
  </si>
  <si>
    <t>KLCC / Large mall·clinic·bank·Chinese food</t>
  </si>
  <si>
    <t>KLCC / 大型商场·诊所·银行·中餐</t>
  </si>
  <si>
    <t>KL Gallery</t>
  </si>
  <si>
    <t>Photo Gallery（KL）</t>
  </si>
  <si>
    <t>照片画廊（KL）</t>
  </si>
  <si>
    <t>Penang Section</t>
  </si>
  <si>
    <t>Bayan Lepas/George Town area有3个office。Penang是world heritage的city，Malaysia也是number one的美食city。Meal compare KL也cheap。Personal cafe也排排站，街walk和sea relax可以的environment。</t>
  </si>
  <si>
    <t>Bayan Lepas/George Town区域有3个办公室。槟城是世界遗产的城市，马来西亚也是数一数二的美食城市。餐饮比KL也便宜。个人咖啡馆也排排站，街头漫步和海边放松可以的环境。</t>
  </si>
  <si>
    <t>Penang Spec</t>
  </si>
  <si>
    <t>Main road／airport access good、bus／Grab</t>
  </si>
  <si>
    <t>主要道路／机场通达好、巴士／Grab</t>
  </si>
  <si>
    <t>Meeting room、phone booth、training room、rest space</t>
  </si>
  <si>
    <t>会议室、电话隔间、培训室、休息空间</t>
  </si>
  <si>
    <t>Seaside condo、cafe、hospital、supermarket、Chinese food restaurant</t>
  </si>
  <si>
    <t>海边公寓、咖啡馆、医院、超市、中餐厅</t>
  </si>
  <si>
    <t>Penang Gallery</t>
  </si>
  <si>
    <t>Photo Gallery（Penang）</t>
  </si>
  <si>
    <t>照片画廊（槟城）</t>
  </si>
  <si>
    <t>Bangkok Section</t>
  </si>
  <si>
    <t>BTS/MRT near的downtown office。Chinese很多live的area adjacent，supermarket／restaurant／medical facility complete。</t>
  </si>
  <si>
    <t>BTS/MRT近的市中心办公室。华人很多居住的区域邻近，超市／餐厅／医疗设施完善。</t>
  </si>
  <si>
    <t>Bangkok Spec</t>
  </si>
  <si>
    <t>BTS/MRT walking distance、Grab·bus也convenient</t>
  </si>
  <si>
    <t>BTS/MRT步行距离、Grab·巴士也方便</t>
  </si>
  <si>
    <t>Meeting room、phone booth、training room、pantry、refresh space</t>
  </si>
  <si>
    <t>会议室、电话隔间、培训室、茶水间、休息空间</t>
  </si>
  <si>
    <t>Large mall、Chinese supermarket、Chinese restaurant、bank</t>
  </si>
  <si>
    <t>大型商场、华人超市、中餐厅、银行</t>
  </si>
  <si>
    <t>Bangkok Gallery</t>
  </si>
  <si>
    <t>Photo Gallery（Bangkok）</t>
  </si>
  <si>
    <t>照片画廊（曼谷）</t>
  </si>
  <si>
    <t>Work Style</t>
  </si>
  <si>
    <t>Work Style·Safety &amp; Health</t>
  </si>
  <si>
    <t>工作方式·安全卫生</t>
  </si>
  <si>
    <t>Work Type</t>
  </si>
  <si>
    <t>工作形态</t>
  </si>
  <si>
    <t>Basic是week 5 days／1 day 8〜9 hours。Project depend可能hybrid work，early morning·night是shift allowance target（detail interview时）。</t>
  </si>
  <si>
    <t>基本是每周5天／每天8〜9小时。根据项目可能混合工作，早晨·夜间是轮班津贴对象（详细面试时）。</t>
  </si>
  <si>
    <t>Health &amp; Hygiene</t>
  </si>
  <si>
    <t>健康和卫生</t>
  </si>
  <si>
    <t>Common area periodic cleaning、hand sanitizer、air conditioning check等。Medical insurance有，华语medical facility也容易use。</t>
  </si>
  <si>
    <t>公共区域定期清洁、手部消毒、空调检查等。医疗保险有，华语医疗设施也容易使用。</t>
  </si>
  <si>
    <t>Inclusion</t>
  </si>
  <si>
    <t>包容性</t>
  </si>
  <si>
    <t>Multinational flat的company culture。Event、award、team building的交流opportunity也很多。</t>
  </si>
  <si>
    <t>多国籍扁平的公司文化。活动、表彰、团队建设的交流机会也很多。</t>
  </si>
  <si>
    <t>Virtual Office Tour</t>
  </si>
  <si>
    <t>虚拟办公室导览</t>
  </si>
  <si>
    <t>Online体验local的atmosphere</t>
  </si>
  <si>
    <t>线上体验当地的氛围</t>
  </si>
  <si>
    <t>Each location的atmosphere、facility、work space可以virtual参观。</t>
  </si>
  <si>
    <t>各地点的氛围、设施、工作空间可以虚拟参观。</t>
  </si>
  <si>
    <t>看More Photo</t>
  </si>
  <si>
    <t>看更多照片</t>
  </si>
  <si>
    <t>Each page也有office photo和employee voice。Career choose的reference。</t>
  </si>
  <si>
    <t>各页面也有办公室照片和员工声音。职业选择的参考。</t>
  </si>
  <si>
    <t>员工Voice</t>
  </si>
  <si>
    <t>员工声音</t>
  </si>
  <si>
    <t>CTA Tiles</t>
  </si>
  <si>
    <t>Next做什么？</t>
  </si>
  <si>
    <t>下一步做什么？</t>
  </si>
  <si>
    <t>华语speaker向position很多。No experience OK的job也有。</t>
  </si>
  <si>
    <t>华语使用者向职位很多。无经验OK的工作也有。</t>
  </si>
  <si>
    <t>Work visa application、flight、arrival後hotel（MY）到specialist team陪伴。</t>
  </si>
  <si>
    <t>工作签证申请、机票、到达后酒店（马来西亚）到专业团队陪伴。</t>
  </si>
  <si>
    <t>不是selection。Work/life/relocation的疑问30分钟consult。</t>
  </si>
  <si>
    <t>不是选拔。工作/生活/搬迁的疑问30分钟咨询。</t>
  </si>
  <si>
    <t>Lightbox</t>
  </si>
  <si>
    <t>Close</t>
  </si>
  <si>
    <t>关闭</t>
  </si>
  <si>
    <t>华语职位欢迎。勤务地包括吉隆坡、槟城、曼谷。提供工作签证和搬迁支持。</t>
  </si>
  <si>
    <t>中文空缺热招中！office at Kuala Lumpur, Penang &amp; Bangkok. 搬迁补助可额外申请</t>
  </si>
  <si>
    <t>华语岗位热招中。工作地点覆盖吉隆坡、槟城、曼谷。包含签证和搬迁协助。</t>
  </si>
  <si>
    <t>查看薪资福利</t>
  </si>
  <si>
    <t>查看薪资待遇</t>
  </si>
  <si>
    <t>了解招聘流程</t>
  </si>
  <si>
    <t>预约线上面试</t>
  </si>
  <si>
    <t>Job Card 1</t>
  </si>
  <si>
    <t>客户服务代表</t>
  </si>
  <si>
    <t>客服 (CS)</t>
  </si>
  <si>
    <t>客服岗位</t>
  </si>
  <si>
    <t>招聘中</t>
  </si>
  <si>
    <t>地点：吉隆坡</t>
  </si>
  <si>
    <t>语言：中文/日语</t>
  </si>
  <si>
    <t>类型：正式员工</t>
  </si>
  <si>
    <t>班次：轮班制</t>
  </si>
  <si>
    <t>为大型电商平台客户提供华语支持。</t>
  </si>
  <si>
    <t>为全球电商平台用户提供华语客服。</t>
  </si>
  <si>
    <t>处理订单、配送、退货等咨询。</t>
  </si>
  <si>
    <t>处理订单、配送、退货等相关事务。</t>
  </si>
  <si>
    <t>通过电话、邮件、聊天提供支持。</t>
  </si>
  <si>
    <t>通过多渠道提供客户支持。</t>
  </si>
  <si>
    <t>中文流利（书写和交流）</t>
  </si>
  <si>
    <t>大专或以上学历</t>
  </si>
  <si>
    <t>minimum SPM</t>
  </si>
  <si>
    <t>欢迎无经验应聘者</t>
  </si>
  <si>
    <t>能适应轮班制工作</t>
  </si>
  <si>
    <t>客服经验者优先</t>
  </si>
  <si>
    <t>线上面试</t>
  </si>
  <si>
    <t>了解流程</t>
  </si>
  <si>
    <t>Job Card 2</t>
  </si>
  <si>
    <t>金融支持顾问</t>
  </si>
  <si>
    <t>金融支持专员</t>
  </si>
  <si>
    <t>地点：槟城</t>
  </si>
  <si>
    <t>语言：中文主要</t>
  </si>
  <si>
    <t>为在线支付用户提供一级支持。</t>
  </si>
  <si>
    <t>为全球用户提供一级支持服务。</t>
  </si>
  <si>
    <t>为全球在线支付用户提供一级支持。</t>
  </si>
  <si>
    <t>处理账户、交易、技术问题。</t>
  </si>
  <si>
    <t>处理账户查询、交易问题、技术支持。</t>
  </si>
  <si>
    <t>记录和升级客户问题到相关部门。</t>
  </si>
  <si>
    <t>记录详情并适当升级复杂案例。</t>
  </si>
  <si>
    <t>中文和英文流利</t>
  </si>
  <si>
    <t>客服或财务背景优先</t>
  </si>
  <si>
    <t>Windows基础操作能力</t>
  </si>
  <si>
    <t>强沟通和问题解决能力</t>
  </si>
  <si>
    <t>欢迎初入职场者</t>
  </si>
  <si>
    <t>Job Card 3</t>
  </si>
  <si>
    <t>销售代表</t>
  </si>
  <si>
    <t>地点：曼谷</t>
  </si>
  <si>
    <t>语言：中文/英文</t>
  </si>
  <si>
    <t>班次：日班</t>
  </si>
  <si>
    <t>Weekday only</t>
  </si>
  <si>
    <t>为中国市场销售云安全解决方案。</t>
  </si>
  <si>
    <t>销售企业云安全解决方案给亚太地区。</t>
  </si>
  <si>
    <t>识别商机并进行商务洽谈。</t>
  </si>
  <si>
    <t>发现潜在客户并推进销售机会。</t>
  </si>
  <si>
    <t>使用CRM系统管理客户关系。</t>
  </si>
  <si>
    <t>使用销售工具管理客户信息和活动。</t>
  </si>
  <si>
    <t>销售、市场推广或客户管理经验</t>
  </si>
  <si>
    <t>自驱力强、独立工作能力强</t>
  </si>
  <si>
    <t>问题解决和谈判能力出色</t>
  </si>
  <si>
    <t>对数字营销感兴趣</t>
  </si>
  <si>
    <t>不确定适合哪个职位？</t>
  </si>
  <si>
    <t>预约轻松对话（30分钟）咨询任何问题。</t>
  </si>
  <si>
    <t>线上面试（30分钟）咨询任何问题</t>
  </si>
  <si>
    <t>预约对话</t>
  </si>
  <si>
    <t>搬迁·签证Support / Relocation &amp; Visa Support</t>
  </si>
  <si>
    <t xml:space="preserve"> 搬迁补贴/工作签证支持</t>
  </si>
  <si>
    <t>搬迁·签证支持 / Relocation &amp; Visa Support</t>
  </si>
  <si>
    <t>第一次overseas搬迁，我们也会support你。
Work visa是company负担apply，华语staff会carefully support。Flight ticket·airport transfer·hotel的arrangement全部company来做。
※Support内容和condition根据location不同。</t>
  </si>
  <si>
    <t>第一次海外搬迁，我们也会支持你。
工作签证是公司负担申请，华语员工会细心支持。机票·机场接送·酒店的安排全部公司来做。
※支持内容和条件根据地点不同。</t>
  </si>
  <si>
    <t>咨询面谈</t>
  </si>
  <si>
    <t>福利待遇</t>
  </si>
  <si>
    <t>Highlights</t>
  </si>
  <si>
    <t>Support的Highlight</t>
  </si>
  <si>
    <t>支持的亮点</t>
  </si>
  <si>
    <t>Visa费用Company负担</t>
  </si>
  <si>
    <t>公司协助申请工作签证</t>
  </si>
  <si>
    <t>签证费用公司负担</t>
  </si>
  <si>
    <t>Work visa（EP）application费用company负担。从requirement document的guide到apply一贯support。</t>
  </si>
  <si>
    <t>工作签证（EP）申请费用公司负担。从所需文件的指南到申请一贯支持。</t>
  </si>
  <si>
    <t>工作签证（EP）申请费用将由公司负担。所需文件的指南到提交申请一贯支持。</t>
  </si>
  <si>
    <t>目安Schedule</t>
  </si>
  <si>
    <t>时间表和预期</t>
  </si>
  <si>
    <t>大概日程</t>
  </si>
  <si>
    <t>从offer到approximately 2个月issue是目安。Progress用华语随时update。</t>
  </si>
  <si>
    <t>工签从录用到完成入职需约8周时间完成。进度将实时更新。</t>
  </si>
  <si>
    <t>从录用到大约2个月发放是大概。进度用华语随时更新。</t>
  </si>
  <si>
    <t>从录用到完成入职约8周时间。进度将实时更新。</t>
  </si>
  <si>
    <t>Flight·Arrival Support</t>
  </si>
  <si>
    <t>机票·到达支持</t>
  </si>
  <si>
    <t>One-way flight ticket提供·airport transfer加上，Malaysia是arrival后hotel prepare（stay期间找住所）。</t>
  </si>
  <si>
    <t>单程机票及机场接送将由公司协助安排，马来西亚是到达后将提供一周酒店住宿。</t>
  </si>
  <si>
    <t>单程机票提供·机场接送加上，马来西亚是到达后酒店准备（住宿期间找住所）。</t>
  </si>
  <si>
    <t>入职的Flow（Overview）</t>
  </si>
  <si>
    <t>入职流程（概述）</t>
  </si>
  <si>
    <t>根据each project的schedule progress。</t>
  </si>
  <si>
    <t>根据每个项目的日程进行。</t>
  </si>
  <si>
    <t>Offer</t>
  </si>
  <si>
    <t>录用</t>
  </si>
  <si>
    <t>Condition·入职timing调整</t>
  </si>
  <si>
    <t>入职日期调整</t>
  </si>
  <si>
    <t>条件·入职时间调整</t>
  </si>
  <si>
    <t>入职条件和时间调整</t>
  </si>
  <si>
    <t>Document Guide</t>
  </si>
  <si>
    <t>文件提交指南</t>
  </si>
  <si>
    <t>文件指南</t>
  </si>
  <si>
    <t>Requirement document提交</t>
  </si>
  <si>
    <t>所需文件提交</t>
  </si>
  <si>
    <t>Visa Apply</t>
  </si>
  <si>
    <t>签证申请</t>
  </si>
  <si>
    <t>Specialist team apply（company负担）</t>
  </si>
  <si>
    <t>专业团队协助申请</t>
  </si>
  <si>
    <t>专业团队申请</t>
  </si>
  <si>
    <t>Flight Booking</t>
  </si>
  <si>
    <t>机票预订</t>
  </si>
  <si>
    <t>One-way ticket·arrival date confirm</t>
  </si>
  <si>
    <t>单程机票·到达日期确认</t>
  </si>
  <si>
    <t>Arrival Support</t>
  </si>
  <si>
    <t>入境抵达支持</t>
  </si>
  <si>
    <t>到达支持</t>
  </si>
  <si>
    <t>Airport transfer·hotel</t>
  </si>
  <si>
    <t>机场接送·酒店</t>
  </si>
  <si>
    <t>Training Start</t>
  </si>
  <si>
    <t>培训开始</t>
  </si>
  <si>
    <t>入职procedure·training</t>
  </si>
  <si>
    <t>入职手续及培训</t>
  </si>
  <si>
    <t>入职手续·培训</t>
  </si>
  <si>
    <t>FAQ Section</t>
  </si>
  <si>
    <t>Work Visa和Arrival后Support</t>
  </si>
  <si>
    <t>工作签证和到达后支持</t>
  </si>
  <si>
    <t>Work Visa（Employment Pass, EP）</t>
  </si>
  <si>
    <t>工作签证（Employment Pass, EP）</t>
  </si>
  <si>
    <t>Application费用：Company负担</t>
  </si>
  <si>
    <t>申请费用 （company Sponsor)</t>
  </si>
  <si>
    <t>申请费用：公司负担</t>
  </si>
  <si>
    <t>Issue目安：从offer approximately 2个月</t>
  </si>
  <si>
    <t>Offer 发出至签证完成需要越8周时间完成</t>
  </si>
  <si>
    <t>发放大概：从录用大约2个月</t>
  </si>
  <si>
    <t>录取书发出至签证完成需要越8周时间完成</t>
  </si>
  <si>
    <t>华语support：Requirement document guide·application progress share</t>
  </si>
  <si>
    <t>华语支持：所需文件指南· 申请进度将实时更新。</t>
  </si>
  <si>
    <t>华语支持：所需文件指南·申请进度分享</t>
  </si>
  <si>
    <t>华语支持：所需文件指南·申请进度将实时更新。</t>
  </si>
  <si>
    <t>※Detail根据position·country规定不同。Latest info在selection时guide。</t>
  </si>
  <si>
    <t>※详细根据职位·国家规定不同。最新信息在选拔时指南。</t>
  </si>
  <si>
    <t>Family帯同（Dependent Pass）</t>
  </si>
  <si>
    <t>家属签证（Dependent Pass）</t>
  </si>
  <si>
    <t>家属同行（Dependent Pass）</t>
  </si>
  <si>
    <t>Work visa（EP）取得后，配偶·孩子向的Dependent Pass apply可能。华语medical institution和华语school/community也有，带family relocate的example也很多。</t>
  </si>
  <si>
    <t>工作签证（EP）取得后，配偶及孩子家属可提交签证申请。本地提供华语医疗机构和华语学校/社区，带家属搬迁的例子也很多。</t>
  </si>
  <si>
    <t>Flight·Arrival时的Support</t>
  </si>
  <si>
    <t>到达马来西亚的安排支持</t>
  </si>
  <si>
    <t>机票·到达时的支持</t>
  </si>
  <si>
    <t>抵达马拉西亚的安排支持</t>
  </si>
  <si>
    <t>One-way flight ticket提供（入职时）</t>
  </si>
  <si>
    <t>单程机票将提供（入职时）</t>
  </si>
  <si>
    <t>单程机票提供（入职时）</t>
  </si>
  <si>
    <t>Airport到公司指定hotel的transfer（Malaysia）</t>
  </si>
  <si>
    <t>机场到公司指定酒店的接送（马来西亚）</t>
  </si>
  <si>
    <t>Arrival后的hotel：Stay期间找住所</t>
  </si>
  <si>
    <t>到达后的酒店：住宿期间找住所</t>
  </si>
  <si>
    <t>※Interview时guide。</t>
  </si>
  <si>
    <t>Interview Tips</t>
  </si>
  <si>
    <t>※面试指南。</t>
  </si>
  <si>
    <t>面试指南</t>
  </si>
  <si>
    <t>Life Section</t>
  </si>
  <si>
    <t>住所·Life Set Up</t>
  </si>
  <si>
    <t>住所·生活建立</t>
  </si>
  <si>
    <t>Real estate agent的introduction我们会做。</t>
  </si>
  <si>
    <t>提供搬迁协助 - 房产中介/ 平台</t>
  </si>
  <si>
    <t>房产中介的介绍我们会做。</t>
  </si>
  <si>
    <t>住所的General Image（KL/Penang）</t>
  </si>
  <si>
    <t>住所的一般情况信息（KL/槟城）</t>
  </si>
  <si>
    <t>住所的一般情况（KL/槟城）</t>
  </si>
  <si>
    <t>Pool·Gym·24h Security付的condo是general。Furniture appliance付，可以immediately move in的property很多。</t>
  </si>
  <si>
    <t>本地公寓一般公共设有泳池，健身房及确保24小时安保系统。大部分出租房间都可以拎包入住。</t>
  </si>
  <si>
    <t>泳池·健身房·24小时保安付的公寓是一般。家具家电付，可以立即入住的房产很多。</t>
  </si>
  <si>
    <t>本地公寓一般公共设有泳池，健身房 及确保24小时安保系统。大部分出租家具可以拎包入住。</t>
  </si>
  <si>
    <t>Pill</t>
  </si>
  <si>
    <t>Furniture·Appliance付</t>
  </si>
  <si>
    <t>基础家私和大件电器</t>
  </si>
  <si>
    <t>家具·家电付</t>
  </si>
  <si>
    <t>Pool/Gym</t>
  </si>
  <si>
    <t>Swimming Pool/Gym</t>
  </si>
  <si>
    <t>泳池/健身房</t>
  </si>
  <si>
    <t>24h Security</t>
  </si>
  <si>
    <t>24小时保安</t>
  </si>
  <si>
    <t>24小时安保系统</t>
  </si>
  <si>
    <t>Cost of Living目安</t>
  </si>
  <si>
    <t>生活成本大概</t>
  </si>
  <si>
    <t>Compare China（北京·上海），cost of living容易control，time·money·心理都会有余裕。Detail请看「城市介绍」。</t>
  </si>
  <si>
    <t>对比外国/大城市，Penang生活成本更低，时间和金钱都会有余裕。详细请看「城市介绍」。</t>
  </si>
  <si>
    <t>对比中国（北京·上海），生活成本容易控制，时间·金钱·心理都会有余裕。详细请看「城市介绍」。</t>
  </si>
  <si>
    <t>对比中国（北京·上海），马来西亚生活成本更低，时间和金钱都会有余裕。详细请看「城市介绍」。</t>
  </si>
  <si>
    <t>Local Life Info</t>
  </si>
  <si>
    <t>当地生活信息</t>
  </si>
  <si>
    <t>Chinese food店、华语medical、transport等在「Daily Life」「城市介绍」summarize了。</t>
  </si>
  <si>
    <t>大排档、中西药行、交通等在「城市介绍」有详细介绍了。</t>
  </si>
  <si>
    <t>中餐店、华语医疗、交通等在「日常生活」「城市介绍」总结了。</t>
  </si>
  <si>
    <t>平价中餐、中西药行、交通等在「城市介绍」有详细介绍。</t>
  </si>
  <si>
    <t>Country</t>
  </si>
  <si>
    <t>Country·City的特色（抜粋）</t>
  </si>
  <si>
    <t>马来西亚国家·城市的特色（summary）</t>
  </si>
  <si>
    <t>国家·城市的特色（摘录）</t>
  </si>
  <si>
    <t>马来西亚国家·城市的特色（摘录）</t>
  </si>
  <si>
    <t>Malaysia（KL / Penang）</t>
  </si>
  <si>
    <t>马来西亚（KL / 槟城）</t>
  </si>
  <si>
    <t>马来西亚（吉隆坡 / 槟城）</t>
  </si>
  <si>
    <t>Multicultural English广泛通用，华语facility也complete。KL是city type，Penang是sea和nature也close。Arrival後hotel arrange（MY）。</t>
  </si>
  <si>
    <t>多元文化语言广泛通用，华语设施也完善。KL是大城市型，槟城是相较亲近大自然的城市。</t>
  </si>
  <si>
    <t>多元文化英语广泛通用，华语设施也完善。KL是城市型，槟城是海和自然也近。到达后酒店安排（马来西亚）。</t>
  </si>
  <si>
    <t>Thailand（Bangkok）</t>
  </si>
  <si>
    <t>泰国（曼谷）</t>
  </si>
  <si>
    <t>华语facility·hospital非常complete。BTS/MRT移动easy，furniture付condo comfortable live。
※Arrival后hotel arrange</t>
  </si>
  <si>
    <t>本地华语设施，医疗及教育系统非常完善。</t>
  </si>
  <si>
    <t>华语设施·医院非常完善。BTS/MRT移动方便，家具付公寓舒适生活。
※到达后酒店安排</t>
  </si>
  <si>
    <t>先用华语consult吧？</t>
  </si>
  <si>
    <t>先用华语咨询吧？</t>
  </si>
  <si>
    <t>30分钟的Casual Chat，visa·住所·life的不安都可以解消。
马上apply的话请去Job List。</t>
  </si>
  <si>
    <t>20分钟的线上面谈，解答您签证住所，生活的疑问。
浏览职位列表，即可提交工作申请。</t>
  </si>
  <si>
    <t>30分钟的休闲面谈，签证·住所·生活的不安都可以消除。
马上申请的话请去职位列表。</t>
  </si>
  <si>
    <t>薪资福利 / Salary &amp; Benefits</t>
  </si>
  <si>
    <t>为了让你可以安心start overseas career，我们prepare了fair的evaluation和complete的benefits、relocation support。
※Position·location不同detail会在offer letter里面告诉你。</t>
  </si>
  <si>
    <t>为了让你可以安心开启海外职业，我们准备了公正的评估和完善的福利、搬迁支持。
※职位·地点不同详细会在录用通知书里面告诉你。</t>
  </si>
  <si>
    <t>Summary</t>
  </si>
  <si>
    <t>「Great Place to Work®」/ Language·Training Support / Medical Insurance / Complete Relocation Support</t>
  </si>
  <si>
    <t>「Great Place to Work®」/ 语言·培训支持 / 医疗保险 / 完善的搬迁支持</t>
  </si>
  <si>
    <t>薪资（Compensation）</t>
  </si>
  <si>
    <t>根据role、experience等determine。Performance based的evaluation system，有salary increase的opportunity。</t>
  </si>
  <si>
    <t>根据角色、经验等决定。基于绩效的评估制度，有薪资增长的机会。</t>
  </si>
  <si>
    <t>假期（Time Off）</t>
  </si>
  <si>
    <t>Malaysia　Annual leave年15天。</t>
  </si>
  <si>
    <t>马来西亚　年假15天。</t>
  </si>
  <si>
    <t>Thailand　Annual leave年12天。</t>
  </si>
  <si>
    <t>泰国　年假12天。</t>
  </si>
  <si>
    <t>Relocation &amp; Visa</t>
  </si>
  <si>
    <t>搬迁与签证</t>
  </si>
  <si>
    <t>Work visa专门team用华语support，company负担apply费用。One-way flight ticket提供。6晚7天的hotel arrangement有。(有exception）</t>
  </si>
  <si>
    <t>工作签证专门团队用华语支持，公司负担申请费用。提供单程机票。6晚7天的酒店安排有。(有例外）</t>
  </si>
  <si>
    <t>基本薪资·各种津贴</t>
  </si>
  <si>
    <t>基本薪资：根据job content、experience等determine。</t>
  </si>
  <si>
    <t>基本薪资：根据工作内容、经验等决定。</t>
  </si>
  <si>
    <t>Housing allowance、language allowance支给（depend on position可能有不同）。</t>
  </si>
  <si>
    <t>住房津贴、语言津贴支给（根据职位可能有不同）。</t>
  </si>
  <si>
    <t>※全部在employment contract里confirm·明示。</t>
  </si>
  <si>
    <t>※全部在雇佣合同里确认·明示。</t>
  </si>
  <si>
    <t>Learning Support·Training</t>
  </si>
  <si>
    <t>学习支持·培训</t>
  </si>
  <si>
    <t>Provide入职training＋continuous training，support你在现场become即战力。Language方面用Language Bootcamp / GoFluent等support English improve。</t>
  </si>
  <si>
    <t>提供入职培训＋持续培训，支持你在现场成为即战力。语言方面用Language Bootcamp / GoFluent等支持英语提升。</t>
  </si>
  <si>
    <t>Health Section</t>
  </si>
  <si>
    <t>Medical Insurance·Wellbeing</t>
  </si>
  <si>
    <t>医疗保险·身心健康</t>
  </si>
  <si>
    <t>Medical Insurance</t>
  </si>
  <si>
    <t>医疗保险</t>
  </si>
  <si>
    <t>Complete local medical institution可以use的insurance。华语service的hospital、clinic也很容易access的environment。</t>
  </si>
  <si>
    <t>完备当地医疗机构可以使用的保险。华语服务的医院、诊所也很容易访问的环境。</t>
  </si>
  <si>
    <t>安全·安心</t>
  </si>
  <si>
    <t>Support你arrival后马上开始的life set up。有basic的security意识的话，单身·女生一个人住也可以安心live。</t>
  </si>
  <si>
    <t>支持你到达后马上开始的生活建立。有基本的安全意识的话，单身·女生一个人住也可以安心生活。</t>
  </si>
  <si>
    <t>Culture &amp; Events</t>
  </si>
  <si>
    <t>文化与活动</t>
  </si>
  <si>
    <t>通过award制度和company event、team building，培养easy to work和diverse的culture。</t>
  </si>
  <si>
    <t>通过表彰制度和公司活动、团队建设，培养容易工作和多元化的文化。</t>
  </si>
  <si>
    <t>Relocation</t>
  </si>
  <si>
    <t>Work Visa（EP）</t>
  </si>
  <si>
    <t>工作签证（EP）</t>
  </si>
  <si>
    <t>目安：从offer到approximately 2个月issue</t>
  </si>
  <si>
    <t>大概：从录用到大约2个月发放</t>
  </si>
  <si>
    <t>配偶·孩子的Dependent Pass application可能（EP取得后）</t>
  </si>
  <si>
    <t>配偶·孩子的家属签证申请可能（工作签证取得后）</t>
  </si>
  <si>
    <t>Arrival後6晚7天的hotel</t>
  </si>
  <si>
    <t>到达后6晚7天的酒店</t>
  </si>
  <si>
    <t>华语staff会advice local agent的introduction和viewing的进法。住所一般是有pool·gym的condominium。而且，sofa和washing machine、refrigerator等生活需要的furniture已经equipped。</t>
  </si>
  <si>
    <t>华语员工会建议当地中介的介绍和看房的方法。住所一般是有泳池·健身房的公寓。而且，沙发和洗衣机、冰箱等生活需要的家具已经配备。</t>
  </si>
  <si>
    <t>City的特色请看城市介绍。</t>
  </si>
  <si>
    <t>城市的特色请看城市介绍。</t>
  </si>
  <si>
    <t>Notes</t>
  </si>
  <si>
    <t>注意事项</t>
  </si>
  <si>
    <t>本page是overview。Condition·制度根据project/location/法令不同。</t>
  </si>
  <si>
    <t>本页是概述。条件·制度根据项目/地点/法令不同。</t>
  </si>
  <si>
    <t>最终condition在offer letter和employment contract里面confirm·明示。</t>
  </si>
  <si>
    <t>最终条件在录用通知书和雇佣合同里面确认·明示。</t>
  </si>
  <si>
    <t>有疑问？华语consult吧</t>
  </si>
  <si>
    <t>有疑问？华语咨询吧</t>
  </si>
  <si>
    <t>30分钟的Casual Chat，关于salary、benefits、relocation、life的疑问用华语answer。
想马上apply的话请去Job List。</t>
  </si>
  <si>
    <t>30分钟的休闲面谈，关于薪资、福利、搬迁、生活的疑问用华语回答。
想马上申请的话请去职位列表。</t>
  </si>
  <si>
    <t>初步线上面谈</t>
  </si>
  <si>
    <t>Page URL:</t>
  </si>
  <si>
    <t>Page Title (Local):</t>
  </si>
  <si>
    <t>认识我们的TA Team</t>
  </si>
  <si>
    <t>Page Title (Expat):</t>
  </si>
  <si>
    <t>认识招聘团队</t>
  </si>
  <si>
    <t>Extraction Date:</t>
  </si>
  <si>
    <t>Review Status:</t>
  </si>
  <si>
    <t>Total Items:</t>
  </si>
  <si>
    <t>Content</t>
  </si>
  <si>
    <t>Team Section</t>
  </si>
  <si>
    <t>认识我们的招聘团队</t>
  </si>
  <si>
    <t>从apply到入职，华语全程support。第一次overseas job也没问题，我们会一步一步帮你settle down。</t>
  </si>
  <si>
    <t>从申请到入职，全程华语协助。第一次到海外工作也不用担心，我们会一步一步地协助您</t>
  </si>
  <si>
    <t>从申请到入职，华语全程支持。第一次海外工作也没问题，我们会一步一步帮你安顿下来。</t>
  </si>
  <si>
    <t>View Open Jobs</t>
  </si>
  <si>
    <t>Book Casual Chat</t>
  </si>
  <si>
    <t>预约线上面谈</t>
  </si>
  <si>
    <t>预约休闲面谈</t>
  </si>
  <si>
    <t>LINE最新Info</t>
  </si>
  <si>
    <t>LINE最新信息</t>
  </si>
  <si>
    <t>LINE最新消息</t>
  </si>
  <si>
    <t>Our Mission</t>
  </si>
  <si>
    <t>我们的使命</t>
  </si>
  <si>
    <t>Mission</t>
  </si>
  <si>
    <t>Team Members</t>
  </si>
  <si>
    <t>团队成员</t>
  </si>
  <si>
    <t>Support Flow</t>
  </si>
  <si>
    <t>协助流程</t>
  </si>
  <si>
    <t>支持流程</t>
  </si>
  <si>
    <t>Contact Us</t>
  </si>
  <si>
    <t>联系我们</t>
  </si>
  <si>
    <t>华语全程Support</t>
  </si>
  <si>
    <t>全程华语Support</t>
  </si>
  <si>
    <t>华语全程支持</t>
  </si>
  <si>
    <t>全程华语协助</t>
  </si>
  <si>
    <t>从apply到interview到visa到入职，每一个step都用华语guide你。First time overseas experience的人也完全okay！</t>
  </si>
  <si>
    <t>从申请到面试到获取签证到入职，每一个步骤都用华语指导你。第一次海外经历的人也完全没问题！</t>
  </si>
  <si>
    <t>从申请到面试到签证到入职，每一个步骤都用华语指导你。第一次海外经历的人也完全没问题！</t>
  </si>
  <si>
    <t>Real Information</t>
  </si>
  <si>
    <t>真实信息</t>
  </si>
  <si>
    <t>不只是job的好处，生活和工作的'real talk'我们也会share。Goal是no mismatch的入职experience。</t>
  </si>
  <si>
    <t>不只是工作的好处，生活和工作的'真实情况'我们也会分享。目标是没有错配的入职体验。</t>
  </si>
  <si>
    <t>Career第一步Support</t>
  </si>
  <si>
    <t>职业第一步支持</t>
  </si>
  <si>
    <t>入职不是end point而是starting point。Training、language support、career path的info我们都会connect，support你long term growth。</t>
  </si>
  <si>
    <t>入职不是终点而是起点。培训、语言支持、职业路径的信息我们都会连接，支持你长期成长。</t>
  </si>
  <si>
    <t>Meet the TA Team</t>
  </si>
  <si>
    <t>从apply到入职，华语全程support你</t>
  </si>
  <si>
    <t>从申请到入职，华语全程协助你</t>
  </si>
  <si>
    <t>从申请到入职，华语全程支持你</t>
  </si>
  <si>
    <t>TA Team介绍</t>
  </si>
  <si>
    <t>想overseas工作但是有点担心？语言barrier、culture difference都不用怕！TP有讲华语的Talent Acquisition team，从apply到入职全程support你。</t>
  </si>
  <si>
    <t>想到海外工作但是有点担心？语言障碍、文化差异都不用怕！TP有中文的人才招聘团队，从申请到入职全程协助你。</t>
  </si>
  <si>
    <t>想海外工作但是有点担心？语言障碍、文化差异都不用怕！TP有讲华语的人才招聘团队，从申请到入职全程支持你。</t>
  </si>
  <si>
    <t>Manager｜Talent Acquisition</t>
  </si>
  <si>
    <t>经理｜人才招聘</t>
  </si>
  <si>
    <t>Leader Profile</t>
  </si>
  <si>
    <t>💼 已经interview和help过thousands of华语candidates开启他们的BPO career！Next就轮到你了，let's design你的career path together！</t>
  </si>
  <si>
    <t>💼 已经面试和帮助过数千名华语候选人开启他们的BPO职业！下一个就轮到你了，让我们一起迎接你的职业规划！</t>
  </si>
  <si>
    <t>💼 已经面试和帮助过数千名华语候选人开启他们的BPO职业！下一个就轮到你了，让我们一起设计你的职业道路！</t>
  </si>
  <si>
    <t>Book面谈</t>
  </si>
  <si>
    <t>预约面谈</t>
  </si>
  <si>
    <t>问问题</t>
  </si>
  <si>
    <t>询问工作有关的咨询</t>
  </si>
  <si>
    <t>咨询</t>
  </si>
  <si>
    <t>Member Profile</t>
  </si>
  <si>
    <t>Talent Acquisition｜Recruiter</t>
  </si>
  <si>
    <t>人才招聘｜招聘专员</t>
  </si>
  <si>
    <t>Fresh Grad Support</t>
  </si>
  <si>
    <t>应届毕业生协助</t>
  </si>
  <si>
    <t>应届生支持</t>
  </si>
  <si>
    <t>Resume Tips</t>
  </si>
  <si>
    <t>简历技巧</t>
  </si>
  <si>
    <t>KL Based</t>
  </si>
  <si>
    <t>Book Chat</t>
  </si>
  <si>
    <t>Career Consultation</t>
  </si>
  <si>
    <t>职业咨询</t>
  </si>
  <si>
    <t>Salary Negotiation</t>
  </si>
  <si>
    <t>薪资谈判</t>
  </si>
  <si>
    <t>5年++ Experience</t>
  </si>
  <si>
    <t>5年以上经验</t>
  </si>
  <si>
    <t>Thailand Based</t>
  </si>
  <si>
    <t>泰国</t>
  </si>
  <si>
    <t>Visa Expert</t>
  </si>
  <si>
    <t>签证专家</t>
  </si>
  <si>
    <t>Project Matching</t>
  </si>
  <si>
    <t>项目匹配</t>
  </si>
  <si>
    <t>Tech Projects</t>
  </si>
  <si>
    <t>科技项目</t>
  </si>
  <si>
    <t>Korean/Chinese Speaker</t>
  </si>
  <si>
    <t>韩语/华语语言者</t>
  </si>
  <si>
    <t>韩语/华语</t>
  </si>
  <si>
    <t>Bangkok Expert</t>
  </si>
  <si>
    <t>曼谷专家</t>
  </si>
  <si>
    <t>Local Life Guide</t>
  </si>
  <si>
    <t>当地生活指南</t>
  </si>
  <si>
    <t>Thai/Chinese/English</t>
  </si>
  <si>
    <t>泰语/华语/英语</t>
  </si>
  <si>
    <t>我们怎样support你</t>
  </si>
  <si>
    <t>我们怎样协助你</t>
  </si>
  <si>
    <t>我们怎样支持你</t>
  </si>
  <si>
    <t>初步询问咨询</t>
  </si>
  <si>
    <t>Timeline</t>
  </si>
  <si>
    <t>Apply之前想casual chat 30分钟也welcome。问问Malaysia/Thailand的work和life，了解job info（不是selection哦）。</t>
  </si>
  <si>
    <t>申请之前想初步了解，30分钟也欢迎询问。问有关于马来西亚/泰国的工作和生活，了解职位信息（不是选拔哦）。</t>
  </si>
  <si>
    <t>申请之前想轻松聊30分钟也欢迎。问问马来西亚/泰国的工作和生活，了解职位信息（不是选拔哦）。</t>
  </si>
  <si>
    <t>Apply之后，我们会从你register的email contact你。Submit resume后，arrange HR interview的schedule。</t>
  </si>
  <si>
    <t>申请之后，我们会从你注册的电子邮件联系你。提交简历后，安排人事部门面试的预约。</t>
  </si>
  <si>
    <t>申请之后，我们会从你注册的邮箱联系你。提交简历后，安排人事面试的日程。</t>
  </si>
  <si>
    <t>Online interview两round（HR→Operation Team）。关于actual工作的detail question也welcome问！</t>
  </si>
  <si>
    <t>在线面试两轮（人事→运营团队）。关于实际工作的详细问题也欢迎询问！</t>
  </si>
  <si>
    <t>在线面试两轮（人事→运营团队）。关于实际工作的详细问题也欢迎问！</t>
  </si>
  <si>
    <t>关于work arrangement和start date等会detail explain。Any疑问我们一起clarify。</t>
  </si>
  <si>
    <t>关于工作安排和开始日期等，会详细说明。任何疑问我们一起讨论。</t>
  </si>
  <si>
    <t>关于工作安排和开始日期等会详细说明。任何疑问我们一起澄清。</t>
  </si>
  <si>
    <t>Visa·Travel</t>
  </si>
  <si>
    <t>签证·出行</t>
  </si>
  <si>
    <t>Submit required document后，我们help apply VISA，arrange airport pickup（MY only）和arrival hotel。</t>
  </si>
  <si>
    <t>提交所需文件后，我们帮忙申请签证，安排机场接机（仅马来西亚）和到达酒店。</t>
  </si>
  <si>
    <t>Training、language support（GoFluent等）、career advancement的path都有。Growth opportunity满满！</t>
  </si>
  <si>
    <t>培训、语言支持（GoFluent等）、职业晋升的路径都有。有成长的机会与空间！</t>
  </si>
  <si>
    <t>培训、语言支持（GoFluent等）、职业晋升的路径都有。成长机会满满！</t>
  </si>
  <si>
    <t>Related Links：</t>
  </si>
  <si>
    <t>相关链接：</t>
  </si>
  <si>
    <t>Career Path</t>
  </si>
  <si>
    <t>职业路径</t>
  </si>
  <si>
    <t>English不太confident，okay吗？</t>
  </si>
  <si>
    <t>英语不够自信，可以吗？</t>
  </si>
  <si>
    <t>英语不太自信，可以吗？</t>
  </si>
  <si>
    <t>完全okay！华语为main的position很多。入职后有Language Bootcamp和GoFluent可以step by step improve。Interview也mainly用华语conduct。</t>
  </si>
  <si>
    <t>完全没问题！华语为主的职位很多。入职后有语言训练营和GoFluent可以循序渐进提升。面试也会用华语进行。</t>
  </si>
  <si>
    <t>完全可以！华语为主的职位很多。入职后有语言训练营和GoFluent可以循序渐进提升。面试也主要用华语进行。</t>
  </si>
  <si>
    <t>First time出国，很worried。</t>
  </si>
  <si>
    <t>第一次出国，很担心。</t>
  </si>
  <si>
    <t>Don't worry！Work visa support、airport pickup、arrival hotel（Malaysia）等，initial support都很complete。找房子也会用华语advice你。</t>
  </si>
  <si>
    <t>别担心！工作签证支持、机场接机、到达酒店（马来西亚）等，初期支持都很完善。找房子也会用华语协助你。</t>
  </si>
  <si>
    <t>别担心！工作签证支持、机场接机、到达酒店（马来西亚）等，初期支持都很完善。找房子也会用华语建议你。</t>
  </si>
  <si>
    <t>可以带family一起吗？</t>
  </si>
  <si>
    <t>可以带家人一起吗？</t>
  </si>
  <si>
    <t>拿到work visa之后，spouse和kids的dependent pass可以apply（根据country和employment条件不同，会individual guide你）。</t>
  </si>
  <si>
    <t>拿到工作签证之后，配偶和孩子的家属签证可以申请（根据国家和雇用条件不同，会一对一协助你）。</t>
  </si>
  <si>
    <t>拿到工作签证之后，配偶和孩子的家属签证可以申请（根据国家和雇用条件不同，会个别指导你）。</t>
  </si>
  <si>
    <t>从apply到入职大概要多久？</t>
  </si>
  <si>
    <t>从申请到入职大概要多久？</t>
  </si>
  <si>
    <t>整个process大概2〜3 weeks（document→interview 2 rounds→final result）。Work visa在offer之后大概1〜2 months左右。</t>
  </si>
  <si>
    <t>整个流程大概2〜3周（文件→面试2轮→最终结果）。工作签证在录用之后大概1〜2个月左右。</t>
  </si>
  <si>
    <t>Question还没solve？</t>
  </si>
  <si>
    <t>问题还是没有解决？</t>
  </si>
  <si>
    <t>问题还没解决？</t>
  </si>
  <si>
    <t>预约线上面谈 （华语）</t>
  </si>
  <si>
    <t>不是selection。Life和work的question，30分钟casual聊一下。</t>
  </si>
  <si>
    <t>不是选拔。生活和工作的问题，30分钟简单聊一聊。</t>
  </si>
  <si>
    <t>不是选拔。生活和工作的问题，30分钟轻松聊一下。</t>
  </si>
  <si>
    <t>LINE Official</t>
  </si>
  <si>
    <t>LINE官方</t>
  </si>
  <si>
    <t>Latest job和local info update。Chat问问题也okay。</t>
  </si>
  <si>
    <t>最新职位和当地信息更新。聊天问问题也可以。</t>
  </si>
  <si>
    <t>Add Friend</t>
  </si>
  <si>
    <t>添加好友</t>
  </si>
  <si>
    <t>华语speaker position积极hiring中。No experience required的job也有！</t>
  </si>
  <si>
    <t>华语语言者正在积极招聘中。不需要有相关的经验工作也有！</t>
  </si>
  <si>
    <t>华语使用者职位积极招聘中。不需要经验的工作也有！</t>
  </si>
  <si>
    <t>Apply Here</t>
  </si>
  <si>
    <t>在此申请</t>
  </si>
  <si>
    <t>Hello！我是TP Malaysia华语recruitment team的Kent，负责manage华语speaker和multilingual talent的hiring 🌏 之前在recruitment line做了大概10年++，handle过很多different industry的position——IT、logistics、semiconductor、infrastructure等等，从engineer、support role到management level、C-level position都有touch过。 因为之前有involve Malaysia、Singapore、Thailand、Japan、Korea、Australia、New Zealand等等country的recruitment project，所以对各国的culture和candidate background都比较familiar。我一直believe 'one size doesn't fit all'，每个candidate都deserve personalized的approach。 🌴 Private life方面，我超爱scuba diving和golf！Malaysia这边这些activity都超affordable，生活quality真的很chill！Weekend去diving spot或者golf course relax一下，简直太perfect了。 ✉️ 给candidates的话： Overseas转职是big challenge，但也是expand你possibilities的amazing opportunity。我understand first time去new environment会有很多worries，但是我们会try our best来guide你整个selection process和local生活的info，让你可以放心apply。 很多华语speaker已经在Malaysia和Thailand start了他们的new career journey。希望我们可以sincerely support你的challenge，让它become你better future的first step。期待你的apply和enquiry！</t>
  </si>
  <si>
    <t>你好！我是TP马来西亚华语招聘团队的Kent，负责管理华语使用者和多语言人才的招聘 🌏 之前在招聘领域做了大概10年以上，处理过很多不同行业的职位——IT、物流、半导体、基础设施等等，从工程师、支持岗位到管理层、C级职位都有接触过。 因为之前有参与马来西亚、新加坡、泰国、日本、韩国、澳大利亚、新西兰等国家的招聘项目，所以对各国的文化和候选人背景都比较熟悉。我一直都相信大家都是有能力的潜力者，每个候选人都值得展现出自己出色的那一面。 🌴 私人生活方面，我超爱潜水和打高尔夫球！马来西亚这边的这些活动都超实惠，生活质量真的很好！周末去潜水或者打高尔夫球放松一下，简直太完美了。 ✉️ 给候选人的话： 海外转职是大挑战，但也是扩展你可能性的绝佳机会。我理解第一次去新环境会有很多担忧，但是我们会尽最大努力来指导你整个面试流程和当地生活的信息，让你可以安心申请。 很多华语语言者已经在马来西亚和泰国开始了他们的新职业旅程。我们希望可以真诚支持你的挑战，让它成为你更好的未来的第一步。期待你的申请和咨询！</t>
  </si>
  <si>
    <t>你好！我是TP马来西亚华语招聘团队的Kent，负责管理华语使用者和多语言人才的招聘 🌏 之前在招聘领域做了大概10年以上，处理过很多不同行业的职位——IT、物流、半导体、基础设施等等，从工程师、支持岗位到管理层、C级职位都有接触过。 因为之前有参与马来西亚、新加坡、泰国、日本、韩国、澳大利亚、新西兰等国家的招聘项目，所以对各国的文化和候选人背景都比较熟悉。我一直相信'一刀切不适合所有人'，每个候选人都值得个性化的方法。 🌴 私人生活方面，我超爱潜水和高尔夫！马来西亚这边这些活动都超实惠，生活质量真的很好！周末去潜水点或者高尔夫球场放松一下，简直太完美了。 ✉️ 给候选人的话： 海外转职是大挑战，但也是扩展你可能性的绝佳机会。我理解第一次去新环境会有很多担忧，但是我们会尽最大努力来指导你整个选拔流程和当地生活的信息，让你可以放心申请。 很多华语使用者已经在马来西亚和泰国开始了他们的新职业旅程。希望我们可以真诚支持你的挑战，让它成为你更好未来的第一步。期待你的申请和咨询！</t>
  </si>
  <si>
    <t>员工心声 / Testimonials &amp; Interview Stories</t>
  </si>
  <si>
    <t>员工心声 / 采访与故事</t>
  </si>
  <si>
    <t>"Overseas工作"的senior们的real experience。通过video、工作体验、interview，来了解一下TP的work和life吧。</t>
  </si>
  <si>
    <t>"海外工作"的前辈们的真实体验。通过视频、工作体验、采访，来了解一下TP的工作和生活吧。</t>
  </si>
  <si>
    <t>员工Interview（Video）</t>
  </si>
  <si>
    <t>员工采访（视频）</t>
  </si>
  <si>
    <t>通过short video介绍现场的voice</t>
  </si>
  <si>
    <t>通过短视频介绍现场的声音</t>
  </si>
  <si>
    <t>TP员工Interview：Latest Video</t>
  </si>
  <si>
    <t>TP员工采访：最新视频</t>
  </si>
  <si>
    <t>Actually工作的员工的real voice</t>
  </si>
  <si>
    <t>实际工作的员工的真实声音</t>
  </si>
  <si>
    <t>Watch on YouTube →</t>
  </si>
  <si>
    <t>在YouTube观看 →</t>
  </si>
  <si>
    <t>TP员工Interview：Agent篇</t>
  </si>
  <si>
    <t>TP员工采访：客服专员篇</t>
  </si>
  <si>
    <t>在recruitment最前线active的agent的perspective</t>
  </si>
  <si>
    <t>在招聘最前线活跃的专员的视角</t>
  </si>
  <si>
    <t>TP员工Interview：Team Leader篇</t>
  </si>
  <si>
    <t>TP员工采访：团队主管篇</t>
  </si>
  <si>
    <t>现场management·培训的real</t>
  </si>
  <si>
    <t>现场管理·培训的真实情况</t>
  </si>
  <si>
    <t>TP员工Interview：Operations Manager篇</t>
  </si>
  <si>
    <t>TP员工采访：运营经理篇</t>
  </si>
  <si>
    <t>支持quality·productivity的operation的behind the scenes</t>
  </si>
  <si>
    <t>支持质量·生产力的运营的幕后</t>
  </si>
  <si>
    <t>在TP工作的senior们的real感想</t>
  </si>
  <si>
    <t>在TP工作的前辈们的真实感想</t>
  </si>
  <si>
    <t>M.A（Recruitment）</t>
  </si>
  <si>
    <t>M.A（招聘）</t>
  </si>
  <si>
    <t>"'Different is okay'这个value，让我的心变得free了。比起在China的时候，更不care周围人的eye了。"</t>
  </si>
  <si>
    <t>"'不同也没关系'这个价值观，让我的心变得自由了。比起在中国的时候，更不在意周围人的眼光了。"</t>
  </si>
  <si>
    <t>T.S.（30代·男性）</t>
  </si>
  <si>
    <t>T.S.（30多岁·男性）</t>
  </si>
  <si>
    <t>"因为cost of living很low，cafe巡游和外食都可以很casual地enjoy了。"</t>
  </si>
  <si>
    <t>"因为生活成本很低，咖啡馆巡游和外食都可以很轻松地享受了。"</t>
  </si>
  <si>
    <t>A.K.（20代·女性）</t>
  </si>
  <si>
    <t>A.K.（20多岁·女性）</t>
  </si>
  <si>
    <t>"通勤stress没有了，weekday晚上也可以relax做yoga或者和friend hang out。"</t>
  </si>
  <si>
    <t>"通勤压力没有了，工作日晚上也可以放松做瑜伽或者和朋友聚会。"</t>
  </si>
  <si>
    <t>Y.M.（30代·女性）</t>
  </si>
  <si>
    <t>Y.M.（30多岁·女性）</t>
  </si>
  <si>
    <t>"Every weekend pool、sauna、gym。这种life，在China根本imagine不到！"</t>
  </si>
  <si>
    <t>"每周末泳池、桑拿、健身房。这种生活，在中国根本想象不到！"</t>
  </si>
  <si>
    <t>R.N.（20代·男性）</t>
  </si>
  <si>
    <t>R.N.（20多岁·男性）</t>
  </si>
  <si>
    <t>"Holiday和friend去beach或者night market。Work和play都balance得很好！"</t>
  </si>
  <si>
    <t>"假日和朋友去海滩或者夜市。工作和玩乐都平衡得很好！"</t>
  </si>
  <si>
    <t>K.H（Team Leader）</t>
  </si>
  <si>
    <t>K.H（团队主管）</t>
  </si>
  <si>
    <t>"不是age或者tenure，而是ability来evaluate。入职2年promote到TL，next challenge是QA/Manager。"</t>
  </si>
  <si>
    <t>"不是年龄或者工龄，而是能力来评估。入职2年晋升到团队主管，下一个挑战是QA/经理。"</t>
  </si>
  <si>
    <t>S.H（Bilingual）</t>
  </si>
  <si>
    <t>S.H（双语）</t>
  </si>
  <si>
    <t>"从华语main的project internal transfer到English比例高的department。通过GoFluent和OJT，English ability无压力地improve了。"</t>
  </si>
  <si>
    <t>"从华语为主的项目内部调动到英语比例高的部门。通过GoFluent和在职培训，英语能力无压力地提升了。"</t>
  </si>
  <si>
    <t>E.S（Manager）</t>
  </si>
  <si>
    <t>E.S（经理）</t>
  </si>
  <si>
    <t>"Trainer→QA→TL→Manager。Multinational×实力主义的environment push我的career forward。"</t>
  </si>
  <si>
    <t>"培训师→QA→团队主管→经理。多国籍×实力主义的环境推动我的职业向前发展。"</t>
  </si>
  <si>
    <t>"中餐厅和supermarket都很complete。Life的set up比imagine中smooth很多。"</t>
  </si>
  <si>
    <t>"中餐厅和超市都很完善。生活的建立比想象中顺畅很多。"</t>
  </si>
  <si>
    <t>CTA</t>
  </si>
  <si>
    <t>Next是什么？</t>
  </si>
  <si>
    <t>下一步是什么？</t>
  </si>
  <si>
    <t>华语speaker向的position很多。No experience OK的job也有。</t>
  </si>
  <si>
    <t>华语使用者向的职位很多。无经验OK的工作也有。</t>
  </si>
  <si>
    <t>Work visa申请、flight、arrival后hotel（MY）等specialist team陪伴。</t>
  </si>
  <si>
    <t>工作签证申请、机票、到达后酒店（马来西亚）等专业团队陪伴。</t>
  </si>
  <si>
    <t>不是selection。华语30分钟，work/life/relocation的疑问都可以consult。</t>
  </si>
  <si>
    <t>不是选拔。华语30分钟，工作/生活/搬迁的疑问都可以咨询。</t>
  </si>
  <si>
    <t>"像local一样，overseas工作。"</t>
  </si>
  <si>
    <t>"像本地人一样，在海外工作。"</t>
  </si>
  <si>
    <t>City Info</t>
  </si>
  <si>
    <t>City的便利 × 多文化 × 华语Support</t>
  </si>
  <si>
    <t>城市的便利 × 多文化 × 华语支持</t>
  </si>
  <si>
    <t>MRT/Monorail/Grab移动很comfortable。通勤stress很少。</t>
  </si>
  <si>
    <t>MRT/单轨/Grab移动很舒适。通勤压力很少。</t>
  </si>
  <si>
    <t>Don Quijote / AEON / ISETAN / 中餐厅很多。</t>
  </si>
  <si>
    <t>唐吉诃德 / 永旺 / 伊势丹 / 中餐厅很多。</t>
  </si>
  <si>
    <t>华语service的hospital、华人学校、华人会都很complete。</t>
  </si>
  <si>
    <t>华语服务的医院、华人学校、华人会都很完善。</t>
  </si>
  <si>
    <t>Popular area（Mont Kiara / KLCC）的condominium设备豪华，rent比China便宜。</t>
  </si>
  <si>
    <t>热门区域（满家乐 / 双子塔）的公寓设备豪华，租金比中国便宜。</t>
  </si>
  <si>
    <t>从KLIA到China（北京·上海·广州·深圳）和Asia各city有很多direct flight。</t>
  </si>
  <si>
    <t>从吉隆坡国际机场到中国（北京·上海·广州·深圳）和亚洲各城市有很多直飞航班。</t>
  </si>
  <si>
    <t>不想compromise city的便利/overseas life有不安、想要接近China的生活的人。</t>
  </si>
  <si>
    <t>不想妥协城市的便利/海外生活有不安、想要接近中国的生活的人。</t>
  </si>
  <si>
    <t>Malaysia·Penang（槟城）</t>
  </si>
  <si>
    <t>马来西亚·槟城（Penang）</t>
  </si>
  <si>
    <t>Nature × History × 安静的Island Life</t>
  </si>
  <si>
    <t>自然 × 历史 × 安静的岛屿生活</t>
  </si>
  <si>
    <t>World Heritage的George Town。Cafe和街walk很enjoyable。</t>
  </si>
  <si>
    <t>世界遗产的乔治城。咖啡馆和街头漫步很愉快。</t>
  </si>
  <si>
    <t>靠近海，view好的property很多，生活费比KL稍微cheap一点。</t>
  </si>
  <si>
    <t>靠近海，景观好的房产很多，生活费比吉隆坡稍微便宜一点。</t>
  </si>
  <si>
    <t>华语medical和翻译service也有，long stay很popular。</t>
  </si>
  <si>
    <t>华语医疗和翻译服务也有，长期居住很受欢迎。</t>
  </si>
  <si>
    <t>Family一起也适合，治安比较stable。</t>
  </si>
  <si>
    <t>带家人一起也适合，治安比较稳定。</t>
  </si>
  <si>
    <t>海景高层condo大概月￥2500左右起（设备：Pool/Gym/Security）。</t>
  </si>
  <si>
    <t>海景高层公寓大概月2500元左右起（设备：泳池/健身房/保安）。</t>
  </si>
  <si>
    <t>想在quiet、relax的environment工作/重视nature和city的balance的人。</t>
  </si>
  <si>
    <t>想在安静、放松的环境工作/重视自然和城市的平衡的人。</t>
  </si>
  <si>
    <t>Thailand·Bangkok（曼谷）</t>
  </si>
  <si>
    <t>泰国·曼谷（Bangkok）</t>
  </si>
  <si>
    <t>被称为"Southeast Asia的Tokyo"的超便利City</t>
  </si>
  <si>
    <t>被称为"东南亚的东京"的超便利城市</t>
  </si>
  <si>
    <t>很多华人居住（约5万人以上）。中国超市 / 中餐 / 华语hospital等facility超complete。</t>
  </si>
  <si>
    <t>很多华人居住（约5万人以上）。中国超市 / 中餐 / 华语医院等设施超完善。</t>
  </si>
  <si>
    <t>BTS/MRT发达。家具付condo（Pool/Gym）rent大概是北京的一半感觉。</t>
  </si>
  <si>
    <t>轻轨/地铁发达。带家具公寓（泳池/健身房）租金大概是北京的一半感觉。</t>
  </si>
  <si>
    <t>People亲华、atmosphere很warm。很容易work的environment。</t>
  </si>
  <si>
    <t>人们亲华、氛围很温暖。很容易工作的环境。</t>
  </si>
  <si>
    <t>2个airport（BKK/DMK）到国内外的direct flight很rich。</t>
  </si>
  <si>
    <t>2个机场（素万那普/廊曼）到国内外的直飞航班很丰富。</t>
  </si>
  <si>
    <t>想在super convenient的place积累overseas experience/想keep接近China的生活feel的人。</t>
  </si>
  <si>
    <t>想在超便利的地方积累海外经验/想保持接近中国的生活感觉的人。</t>
  </si>
  <si>
    <t>Multinational文化和"刚刚好的距离感"</t>
  </si>
  <si>
    <t>多国籍文化和"刚刚好的距离感"</t>
  </si>
  <si>
    <t>Malay系、Chinese系、Indian系共存的society。Foreigner也是"different is normal"。</t>
  </si>
  <si>
    <t>马来系、华人系、印度系共存的社会。外国人也是"不同是正常"。</t>
  </si>
  <si>
    <t>多彩的Food文化</t>
  </si>
  <si>
    <t>多彩的美食文化</t>
  </si>
  <si>
    <t>Halal/Vegan/中餐/Street food/韩餐/印度餐…每天都是gourmet trip。</t>
  </si>
  <si>
    <t>清真/素食/中餐/街头美食/韩餐/印度餐…每天都是美食之旅。</t>
  </si>
  <si>
    <t>Festival共存</t>
  </si>
  <si>
    <t>节日共存</t>
  </si>
  <si>
    <t>Islam的holiday也Chinese New Year也whole city一起celebrate。Seasonal event很rich。</t>
  </si>
  <si>
    <t>伊斯兰的节日也农历新年也全城一起庆祝。季节性活动很丰富。</t>
  </si>
  <si>
    <t>"Difference"被respect</t>
  </si>
  <si>
    <t>"差异"被尊重</t>
  </si>
  <si>
    <t>同调pressure很少，可以做自己style工作的culture。</t>
  </si>
  <si>
    <t>同调压力很少，可以做自己风格工作的文化。</t>
  </si>
  <si>
    <t>不只是Work。Weekend是"Active"的</t>
  </si>
  <si>
    <t>不只是工作。周末是"活跃"的</t>
  </si>
  <si>
    <t>Active的每天</t>
  </si>
  <si>
    <t>活跃的每天</t>
  </si>
  <si>
    <t>Park或lake边的morning run/walk、gym、yoga、cycling。</t>
  </si>
  <si>
    <t>公园或湖边的晨跑/散步、健身房、瑜伽、骑行。</t>
  </si>
  <si>
    <t>Office周边也有很多green的refresh space。</t>
  </si>
  <si>
    <t>办公室周边也有很多绿色的休息空间。</t>
  </si>
  <si>
    <t>接触Nature的Weekend</t>
  </si>
  <si>
    <t>接触自然的周末</t>
  </si>
  <si>
    <t>Blue sea就在nearby。Beach relax/snorkeling/diving。</t>
  </si>
  <si>
    <t>蓝色大海就在附近。海滩放松/浮潜/潜水。</t>
  </si>
  <si>
    <t>Langkawi/Redang/Penang、Phuket/Krabi/Koh Tao等island resort很easy去。</t>
  </si>
  <si>
    <t>兰卡威/热浪岛/槟城、普吉岛/甲米/涛岛等岛屿度假村很容易去。</t>
  </si>
  <si>
    <t>Food的Enjoyment</t>
  </si>
  <si>
    <t>美食的享受</t>
  </si>
  <si>
    <t>从street food到restaurant，每天外食很casual。</t>
  </si>
  <si>
    <t>从街头美食到餐厅，每天外食很随意。</t>
  </si>
  <si>
    <t>从中餐开始各国料理都很complete。Cafe巡游也很popular。</t>
  </si>
  <si>
    <t>从中餐开始各国料理都很完善。咖啡馆巡游也很受欢迎。</t>
  </si>
  <si>
    <t>移动也Smooth</t>
  </si>
  <si>
    <t>移动也顺畅</t>
  </si>
  <si>
    <t>Big mall/supermarket/cinema等city function集中。</t>
  </si>
  <si>
    <t>大型商场/超市/电影院等城市功能集中。</t>
  </si>
  <si>
    <t>Grab和train移动simple·low cost。没有car也comfortable。</t>
  </si>
  <si>
    <t>Grab和火车移动简单·低成本。没有车也舒适。</t>
  </si>
  <si>
    <t>"Easy去World" — 从Asia Hub扩展的Trip</t>
  </si>
  <si>
    <t>"轻松去世界" — 从亚洲枢纽扩展的旅行</t>
  </si>
  <si>
    <t>LCC和short distance flight，weekend海外trip也是日常。</t>
  </si>
  <si>
    <t>廉航和短途航班，周末海外旅行也是日常。</t>
  </si>
  <si>
    <t>China方向</t>
  </si>
  <si>
    <t>中国方向</t>
  </si>
  <si>
    <t>KL/BKK → 北京·上海·广州·深圳等direct flight很rich。</t>
  </si>
  <si>
    <t>吉隆坡/曼谷 → 北京·上海·广州·深圳等直飞航班很丰富。</t>
  </si>
  <si>
    <t>Asia近距离</t>
  </si>
  <si>
    <t>亚洲近距离</t>
  </si>
  <si>
    <t>Singapore·Korea·Taiwan·Vietnam·Indonesia等2〜4小时arrive。</t>
  </si>
  <si>
    <t>新加坡·韩国·台湾·越南·印尼等2〜4小时到达。</t>
  </si>
  <si>
    <t>Europe·Middle East·Australia也可以1个flight access。</t>
  </si>
  <si>
    <t>欧洲·中东·澳大利亚也可以一个航班到达。</t>
  </si>
  <si>
    <t>生活Cost例（北京 vs KL）</t>
  </si>
  <si>
    <t>生活成本例（北京 vs 吉隆坡）</t>
  </si>
  <si>
    <t>Same income，time、money、心都有"余裕"的country。</t>
  </si>
  <si>
    <t>同样的收入，时间、金钱、心都有"余裕"的国家。</t>
  </si>
  <si>
    <t>生活Cost详细</t>
  </si>
  <si>
    <t>生活成本详细</t>
  </si>
  <si>
    <t>现地生活Guide</t>
  </si>
  <si>
    <t>虚拟办公室参观</t>
  </si>
  <si>
    <t>Online体验现地的workplace environment：</t>
  </si>
  <si>
    <t>在线体验当地的工作环境：</t>
  </si>
  <si>
    <t>Tour介绍Page</t>
  </si>
  <si>
    <t>参观介绍页面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</si>
</sst>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b/>
      <sz val="11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sz val="11"/>
      <color rgb="FF000000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FFBEB"/>
      </patternFill>
    </fill>
    <fill>
      <patternFill patternType="solid">
        <fgColor rgb="FFFFD700"/>
      </patternFill>
    </fill>
    <fill>
      <patternFill patternType="solid">
        <fgColor rgb="FFF9F9F9"/>
      </patternFill>
    </fill>
    <fill>
      <patternFill patternType="solid">
        <fgColor rgb="FFF5F5F5"/>
        <bgColor rgb="FFF5F5F5"/>
      </patternFill>
    </fill>
    <fill>
      <patternFill patternType="solid">
        <fgColor rgb="FFFFD700"/>
        <bgColor rgb="FFFFD700"/>
      </patternFill>
    </fill>
    <fill>
      <patternFill patternType="solid">
        <fgColor rgb="FFFFFBEB"/>
        <bgColor rgb="FFFFFBEB"/>
      </patternFill>
    </fill>
    <fill>
      <patternFill patternType="solid">
        <fgColor rgb="FFF5F5F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BEB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1">
    <xf numFmtId="0" fontId="0" fillId="0" borderId="0" xfId="0"/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0" xfId="0" applyFont="1"/>
    <xf numFmtId="0" fontId="4" fillId="3" borderId="1" xfId="0" applyFont="1" applyFill="1" applyBorder="1"/>
    <xf numFmtId="0" fontId="2" fillId="2" borderId="1" xfId="0" applyFont="1" applyFill="1" applyBorder="1"/>
    <xf numFmtId="0" fontId="0" fillId="0" borderId="1" xfId="0" applyBorder="1"/>
    <xf numFmtId="0" fontId="5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8" borderId="2" xfId="0" applyFill="1" applyBorder="1"/>
    <xf numFmtId="0" fontId="0" fillId="0" borderId="2" xfId="0" applyBorder="1"/>
    <xf numFmtId="0" fontId="4" fillId="6" borderId="0" xfId="0" applyFont="1" applyFill="1"/>
    <xf numFmtId="0" fontId="0" fillId="0" borderId="2" xfId="0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4" fillId="0" borderId="0" xfId="0" applyFont="1"/>
    <xf numFmtId="0" fontId="0" fillId="9" borderId="2" xfId="0" applyFill="1" applyBorder="1" applyAlignment="1">
      <alignment vertical="top" wrapText="1"/>
    </xf>
    <xf numFmtId="0" fontId="3" fillId="0" borderId="0" xfId="0" applyFont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/>
    <xf numFmtId="0" fontId="6" fillId="8" borderId="2" xfId="1" applyFill="1" applyBorder="1"/>
    <xf numFmtId="0" fontId="6" fillId="0" borderId="2" xfId="1" applyBorder="1"/>
    <xf numFmtId="0" fontId="4" fillId="3" borderId="5" xfId="0" applyFont="1" applyFill="1" applyBorder="1"/>
    <xf numFmtId="0" fontId="0" fillId="0" borderId="6" xfId="0" applyBorder="1"/>
    <xf numFmtId="0" fontId="4" fillId="3" borderId="7" xfId="0" applyFont="1" applyFill="1" applyBorder="1"/>
    <xf numFmtId="0" fontId="2" fillId="2" borderId="8" xfId="0" applyFont="1" applyFill="1" applyBorder="1"/>
    <xf numFmtId="0" fontId="4" fillId="3" borderId="9" xfId="0" applyFont="1" applyFill="1" applyBorder="1"/>
    <xf numFmtId="0" fontId="0" fillId="0" borderId="10" xfId="0" applyBorder="1"/>
    <xf numFmtId="0" fontId="7" fillId="3" borderId="1" xfId="0" applyFont="1" applyFill="1" applyBorder="1"/>
    <xf numFmtId="0" fontId="8" fillId="2" borderId="1" xfId="0" applyFont="1" applyFill="1" applyBorder="1"/>
    <xf numFmtId="0" fontId="0" fillId="10" borderId="1" xfId="0" applyFill="1" applyBorder="1"/>
    <xf numFmtId="0" fontId="6" fillId="0" borderId="0" xfId="1"/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4" fillId="11" borderId="11" xfId="0" applyFont="1" applyFill="1" applyBorder="1"/>
    <xf numFmtId="0" fontId="0" fillId="0" borderId="11" xfId="0" applyBorder="1"/>
    <xf numFmtId="0" fontId="10" fillId="0" borderId="0" xfId="0" applyFont="1" applyAlignment="1">
      <alignment wrapText="1"/>
    </xf>
    <xf numFmtId="0" fontId="0" fillId="12" borderId="6" xfId="0" applyFill="1" applyBorder="1"/>
    <xf numFmtId="0" fontId="0" fillId="12" borderId="1" xfId="0" applyFill="1" applyBorder="1"/>
    <xf numFmtId="15" fontId="0" fillId="0" borderId="1" xfId="0" applyNumberFormat="1" applyBorder="1" applyAlignment="1">
      <alignment horizontal="left"/>
    </xf>
    <xf numFmtId="0" fontId="0" fillId="0" borderId="0" xfId="0" applyAlignment="1">
      <alignment wrapText="1"/>
    </xf>
    <xf numFmtId="0" fontId="11" fillId="0" borderId="0" xfId="0" applyFont="1"/>
    <xf numFmtId="0" fontId="0" fillId="5" borderId="11" xfId="0" applyFill="1" applyBorder="1" applyAlignment="1">
      <alignment vertical="center" wrapText="1"/>
    </xf>
    <xf numFmtId="0" fontId="0" fillId="9" borderId="12" xfId="0" applyFill="1" applyBorder="1" applyAlignment="1">
      <alignment vertical="top" wrapText="1"/>
    </xf>
    <xf numFmtId="0" fontId="0" fillId="9" borderId="11" xfId="0" applyFill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9" borderId="13" xfId="0" applyFill="1" applyBorder="1" applyAlignment="1">
      <alignment vertical="top" wrapText="1"/>
    </xf>
    <xf numFmtId="0" fontId="0" fillId="9" borderId="14" xfId="0" applyFill="1" applyBorder="1" applyAlignment="1">
      <alignment vertical="top" wrapText="1"/>
    </xf>
    <xf numFmtId="0" fontId="4" fillId="4" borderId="4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0" fillId="0" borderId="11" xfId="0" applyBorder="1" applyAlignment="1">
      <alignment vertical="top" wrapText="1"/>
    </xf>
    <xf numFmtId="0" fontId="0" fillId="5" borderId="15" xfId="0" applyFill="1" applyBorder="1" applyAlignment="1">
      <alignment vertical="center" wrapText="1"/>
    </xf>
    <xf numFmtId="0" fontId="0" fillId="5" borderId="16" xfId="0" applyFill="1" applyBorder="1" applyAlignment="1">
      <alignment vertical="center" wrapText="1"/>
    </xf>
    <xf numFmtId="0" fontId="0" fillId="5" borderId="17" xfId="0" applyFill="1" applyBorder="1" applyAlignment="1">
      <alignment vertical="center" wrapText="1"/>
    </xf>
    <xf numFmtId="0" fontId="0" fillId="0" borderId="18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9" borderId="15" xfId="0" applyFill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9" borderId="20" xfId="0" applyFill="1" applyBorder="1" applyAlignment="1">
      <alignment vertical="top" wrapText="1"/>
    </xf>
    <xf numFmtId="0" fontId="0" fillId="9" borderId="21" xfId="0" applyFill="1" applyBorder="1" applyAlignment="1">
      <alignment vertical="top" wrapText="1"/>
    </xf>
    <xf numFmtId="0" fontId="0" fillId="9" borderId="16" xfId="0" applyFill="1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10" fillId="0" borderId="11" xfId="0" applyFont="1" applyBorder="1"/>
    <xf numFmtId="0" fontId="0" fillId="9" borderId="17" xfId="0" applyFill="1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9" borderId="22" xfId="0" applyFill="1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9" borderId="24" xfId="0" applyFill="1" applyBorder="1" applyAlignment="1">
      <alignment vertical="top" wrapText="1"/>
    </xf>
    <xf numFmtId="0" fontId="0" fillId="8" borderId="2" xfId="0" applyFill="1" applyBorder="1" applyAlignment="1">
      <alignment wrapText="1"/>
    </xf>
    <xf numFmtId="0" fontId="1" fillId="0" borderId="0" xfId="0" applyFont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5F5F5"/>
          <bgColor rgb="FFF5F5F5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5F5F5"/>
          <bgColor rgb="FFF5F5F5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5F5F5"/>
          <bgColor rgb="FFF5F5F5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F5F5F5"/>
          <bgColor rgb="FFF5F5F5"/>
        </patternFill>
      </fill>
    </dxf>
    <dxf>
      <border outline="0">
        <bottom style="thin">
          <color auto="1"/>
        </bottom>
      </border>
    </dxf>
    <dxf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BEB"/>
        </patternFill>
      </fill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FFFBEB"/>
        </patternFill>
      </fill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F62647-D19E-4D77-A66D-E27AE60B3488}" name="Table2" displayName="Table2" ref="A8:D22" totalsRowShown="0" tableBorderDxfId="28">
  <autoFilter ref="A8:D22" xr:uid="{72F62647-D19E-4D77-A66D-E27AE60B3488}"/>
  <sortState xmlns:xlrd2="http://schemas.microsoft.com/office/spreadsheetml/2017/richdata2" ref="A9:D22">
    <sortCondition ref="A8:A22"/>
  </sortState>
  <tableColumns count="4">
    <tableColumn id="1" xr3:uid="{F60E3525-679D-4D3C-92A8-007F5472BCE3}" name="Total Pages" dataDxfId="27"/>
    <tableColumn id="2" xr3:uid="{5AC128B8-81F6-4EEC-B650-ECD45C7CA582}" name="14 (about-tp.html_x000a_area-around-office.html_x000a_casual-interview.html_x000a_cost-of-living.html_x000a_daily-life-malaysia.html_x000a_hiring-process.html_x000a_index.html_x000a_office-environment.html_x000a_open-jobs.html_x000a_relocation-visa.html_x000a_salary-and-benefits.html_x000a_ta-team.html_x000a_testimonials.html" dataDxfId="26"/>
    <tableColumn id="3" xr3:uid="{595442A6-D7AA-4608-88CF-4D6C983794DD}" name="Column1" dataDxfId="25"/>
    <tableColumn id="4" xr3:uid="{871CA73A-BDCD-48C2-82F7-97EFCF1B46C7}" name="Column2" dataDxfId="2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BB4309-422A-4CB0-8514-F95BDE490666}" name="Table4" displayName="Table4" ref="A1:B11" totalsRowShown="0" headerRowBorderDxfId="22" tableBorderDxfId="23" totalsRowBorderDxfId="21">
  <autoFilter ref="A1:B11" xr:uid="{C9BB4309-422A-4CB0-8514-F95BDE490666}"/>
  <tableColumns count="2">
    <tableColumn id="1" xr3:uid="{B4712C64-69A6-4E11-8246-56782D018D98}" name="Field" dataDxfId="20"/>
    <tableColumn id="2" xr3:uid="{CA9FCEB5-79B0-48C5-B6F1-0D5EDE365BBC}" name="Value" dataDxfId="1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DBE115-6599-4EEB-9D2E-227CEE6D7365}" name="Table3" displayName="Table3" ref="A1:B10" totalsRowShown="0" headerRowBorderDxfId="17" tableBorderDxfId="18" totalsRowBorderDxfId="16">
  <autoFilter ref="A1:B10" xr:uid="{8BDBE115-6599-4EEB-9D2E-227CEE6D7365}"/>
  <tableColumns count="2">
    <tableColumn id="1" xr3:uid="{514A2BF3-C4A8-42F7-8534-A40E4FEA613A}" name="Field" dataDxfId="15"/>
    <tableColumn id="2" xr3:uid="{BFA7374A-EC2E-4812-AD98-765C4BCE86CA}" name="Value" dataDxfId="14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D314A3-228D-4297-9A5E-CE23EDC4F15C}" name="Table5" displayName="Table5" ref="A1:B7" totalsRowShown="0" tableBorderDxfId="13">
  <autoFilter ref="A1:B7" xr:uid="{F4D314A3-228D-4297-9A5E-CE23EDC4F15C}"/>
  <tableColumns count="2">
    <tableColumn id="1" xr3:uid="{0A87520A-6DB5-47A7-82A2-3EE5A1887FD6}" name="Column1" dataDxfId="12"/>
    <tableColumn id="2" xr3:uid="{F461B493-7685-4EE9-B9FD-0C9E44B3B0A9}" name="Column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62AEA8-92C8-4FA4-B64E-FF6094E7CE3E}" name="Table6" displayName="Table6" ref="A1:B7" totalsRowShown="0" tableBorderDxfId="11">
  <autoFilter ref="A1:B7" xr:uid="{A062AEA8-92C8-4FA4-B64E-FF6094E7CE3E}"/>
  <tableColumns count="2">
    <tableColumn id="1" xr3:uid="{FCCA03BC-3D04-4EEB-943E-51C23D8095B5}" name="Column1" dataDxfId="10"/>
    <tableColumn id="2" xr3:uid="{F8634287-0AE5-43BC-A873-D1E57C157197}" name="Column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8E2360-FE7F-4C78-977E-D1FBC00B76A9}" name="Table9" displayName="Table9" ref="A1:B7" totalsRowShown="0" tableBorderDxfId="9">
  <autoFilter ref="A1:B7" xr:uid="{848E2360-FE7F-4C78-977E-D1FBC00B76A9}"/>
  <tableColumns count="2">
    <tableColumn id="1" xr3:uid="{1A2F2714-3F5A-4412-99F5-2581D46957F7}" name="Column1" dataDxfId="8"/>
    <tableColumn id="2" xr3:uid="{61A83B50-1A2B-46E6-B244-B3DCB69C6058}" name="Column2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3F066F9-0F73-4F8E-81B6-A3566959C91C}" name="Table7" displayName="Table7" ref="A1:B7" totalsRowShown="0" tableBorderDxfId="7">
  <autoFilter ref="A1:B7" xr:uid="{83F066F9-0F73-4F8E-81B6-A3566959C91C}"/>
  <tableColumns count="2">
    <tableColumn id="1" xr3:uid="{8B3B75C7-F9BC-45E2-85EF-66423C2C0065}" name="Column1" dataDxfId="6"/>
    <tableColumn id="2" xr3:uid="{5FDF26B9-FC3D-4521-8057-6542BC66FE1A}" name="Column2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6D63D9-16D1-45F8-A481-C6812BE2EDB9}" name="Table10" displayName="Table10" ref="A1:B7" totalsRowShown="0" tableBorderDxfId="5">
  <autoFilter ref="A1:B7" xr:uid="{5B6D63D9-16D1-45F8-A481-C6812BE2EDB9}"/>
  <tableColumns count="2">
    <tableColumn id="1" xr3:uid="{101DDF9D-32F7-4BDA-9B32-F7A1DF657EBC}" name="Column1" dataDxfId="4"/>
    <tableColumn id="2" xr3:uid="{BCF12BFB-A40E-4AD2-A1AB-ACF8AD65649C}" name="Column2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055000C-0108-4B58-9A53-3F12F74EDD9B}" name="Table11" displayName="Table11" ref="A1:B7" totalsRowShown="0" tableBorderDxfId="3">
  <autoFilter ref="A1:B7" xr:uid="{5055000C-0108-4B58-9A53-3F12F74EDD9B}"/>
  <tableColumns count="2">
    <tableColumn id="1" xr3:uid="{60184748-135E-44AD-8FEE-291732D4FB17}" name="Column1" dataDxfId="2"/>
    <tableColumn id="2" xr3:uid="{A0A20AEC-3B68-4AE9-AC6D-81FEE48E01D3}" name="Column2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3802269-EA6A-4CD0-9AFC-54DF266EB675}" name="Table12" displayName="Table12" ref="A1:B7" totalsRowShown="0" tableBorderDxfId="1">
  <autoFilter ref="A1:B7" xr:uid="{D3802269-EA6A-4CD0-9AFC-54DF266EB675}"/>
  <tableColumns count="2">
    <tableColumn id="1" xr3:uid="{DB772D44-F8AA-4DAC-8DFD-25E524F565F8}" name="Column1" dataDxfId="0"/>
    <tableColumn id="2" xr3:uid="{8FE37084-A635-4BEC-A114-68DA5CF9A9BC}" name="Column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pmyandtpth.github.io/MLP/why-malaysia-thailand.html" TargetMode="External"/><Relationship Id="rId13" Type="http://schemas.openxmlformats.org/officeDocument/2006/relationships/hyperlink" Target="https://tpmyandtpth.github.io/MLP/cost-of-living.html" TargetMode="External"/><Relationship Id="rId3" Type="http://schemas.openxmlformats.org/officeDocument/2006/relationships/hyperlink" Target="https://tpmyandtpth.github.io/MLP/open-jobs.html" TargetMode="External"/><Relationship Id="rId7" Type="http://schemas.openxmlformats.org/officeDocument/2006/relationships/hyperlink" Target="https://tpmyandtpth.github.io/MLP/testimonials.html" TargetMode="External"/><Relationship Id="rId12" Type="http://schemas.openxmlformats.org/officeDocument/2006/relationships/hyperlink" Target="https://tpmyandtpth.github.io/MLP/casual-interview.html" TargetMode="External"/><Relationship Id="rId2" Type="http://schemas.openxmlformats.org/officeDocument/2006/relationships/hyperlink" Target="https://tpmyandtpth.github.io/MLP/office-environment.html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s://tpmyandtpth.github.io/MLP/hiring-process.html" TargetMode="External"/><Relationship Id="rId6" Type="http://schemas.openxmlformats.org/officeDocument/2006/relationships/hyperlink" Target="https://tpmyandtpth.github.io/MLP/ta-team.html" TargetMode="External"/><Relationship Id="rId11" Type="http://schemas.openxmlformats.org/officeDocument/2006/relationships/hyperlink" Target="https://tpmyandtpth.github.io/MLP/about-tp.html" TargetMode="External"/><Relationship Id="rId5" Type="http://schemas.openxmlformats.org/officeDocument/2006/relationships/hyperlink" Target="https://tpmyandtpth.github.io/MLP/salary-and-benefits.html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tpmyandtpth.github.io/MLP/area-around-office.html" TargetMode="External"/><Relationship Id="rId4" Type="http://schemas.openxmlformats.org/officeDocument/2006/relationships/hyperlink" Target="https://tpmyandtpth.github.io/MLP/relocation-visa.html" TargetMode="External"/><Relationship Id="rId9" Type="http://schemas.openxmlformats.org/officeDocument/2006/relationships/hyperlink" Target="https://tpmyandtpth.github.io/MLP/index.html" TargetMode="External"/><Relationship Id="rId14" Type="http://schemas.openxmlformats.org/officeDocument/2006/relationships/hyperlink" Target="https://tpmyandtpth.github.io/MLP/daily-life-malaysia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tpmyandtpth.github.io/MLP/hiring-process.html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https://tpmyandtpth.github.io/MLP/office-environment.html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s://tpmyandtpth.github.io/MLP/open-jobs.html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hyperlink" Target="https://tpmyandtpth.github.io/MLP/relocation-visa.html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hyperlink" Target="https://tpmyandtpth.github.io/MLP/salary-and-benefits.html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hyperlink" Target="https://tpmyandtpth.github.io/MLP/ta-team.html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hyperlink" Target="https://tpmyandtpth.github.io/MLP/testimonials.html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hyperlink" Target="https://tpmyandtpth.github.io/MLP/why-malaysia-thailan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activeCell="D8" sqref="D8"/>
    </sheetView>
  </sheetViews>
  <sheetFormatPr defaultRowHeight="15"/>
  <cols>
    <col min="1" max="1" width="26.42578125" bestFit="1" customWidth="1"/>
    <col min="2" max="2" width="83.7109375" bestFit="1" customWidth="1"/>
    <col min="3" max="3" width="11" customWidth="1"/>
    <col min="4" max="6" width="15" customWidth="1"/>
  </cols>
  <sheetData>
    <row r="1" spans="1:6" ht="21">
      <c r="A1" s="79" t="s">
        <v>0</v>
      </c>
      <c r="B1" s="80"/>
      <c r="C1" s="80"/>
      <c r="D1" s="80"/>
      <c r="E1" s="80"/>
      <c r="F1" s="80"/>
    </row>
    <row r="2" spans="1:6">
      <c r="B2">
        <v>14</v>
      </c>
    </row>
    <row r="3" spans="1:6">
      <c r="A3" s="1" t="s">
        <v>1</v>
      </c>
      <c r="B3" s="1">
        <f>SUM(C9:C22)</f>
        <v>882</v>
      </c>
    </row>
    <row r="4" spans="1:6">
      <c r="A4" s="2" t="s">
        <v>2</v>
      </c>
      <c r="B4" s="2">
        <f>SUM(C8:C13)</f>
        <v>250</v>
      </c>
    </row>
    <row r="5" spans="1:6">
      <c r="A5" s="2" t="s">
        <v>3</v>
      </c>
      <c r="B5" s="2" t="s">
        <v>4</v>
      </c>
    </row>
    <row r="6" spans="1:6">
      <c r="A6" s="2" t="s">
        <v>5</v>
      </c>
      <c r="B6" s="2" t="s">
        <v>6</v>
      </c>
    </row>
    <row r="7" spans="1:6">
      <c r="A7" s="2" t="s">
        <v>7</v>
      </c>
      <c r="B7" s="2" t="s">
        <v>8</v>
      </c>
    </row>
    <row r="8" spans="1:6" ht="195">
      <c r="A8" s="2" t="s">
        <v>5</v>
      </c>
      <c r="B8" s="9" t="s">
        <v>9</v>
      </c>
      <c r="C8" t="s">
        <v>10</v>
      </c>
      <c r="D8" t="s">
        <v>11</v>
      </c>
    </row>
    <row r="9" spans="1:6">
      <c r="A9" s="10" t="s">
        <v>12</v>
      </c>
      <c r="B9" s="22" t="s">
        <v>13</v>
      </c>
      <c r="C9" s="10">
        <v>19</v>
      </c>
      <c r="D9" s="10" t="s">
        <v>14</v>
      </c>
    </row>
    <row r="10" spans="1:6">
      <c r="A10" s="11" t="s">
        <v>15</v>
      </c>
      <c r="B10" s="23" t="s">
        <v>16</v>
      </c>
      <c r="C10" s="11">
        <v>27</v>
      </c>
      <c r="D10" s="11" t="s">
        <v>14</v>
      </c>
    </row>
    <row r="11" spans="1:6">
      <c r="A11" s="10" t="s">
        <v>17</v>
      </c>
      <c r="B11" s="22" t="s">
        <v>18</v>
      </c>
      <c r="C11" s="10">
        <v>62</v>
      </c>
      <c r="D11" s="10" t="s">
        <v>14</v>
      </c>
    </row>
    <row r="12" spans="1:6">
      <c r="A12" s="11" t="s">
        <v>19</v>
      </c>
      <c r="B12" s="23" t="s">
        <v>20</v>
      </c>
      <c r="C12" s="11">
        <v>36</v>
      </c>
      <c r="D12" s="11" t="s">
        <v>14</v>
      </c>
    </row>
    <row r="13" spans="1:6">
      <c r="A13" s="10" t="s">
        <v>21</v>
      </c>
      <c r="B13" s="22" t="s">
        <v>22</v>
      </c>
      <c r="C13" s="10">
        <v>106</v>
      </c>
      <c r="D13" s="10" t="s">
        <v>14</v>
      </c>
      <c r="E13" s="38"/>
      <c r="F13" s="38"/>
    </row>
    <row r="14" spans="1:6">
      <c r="A14" s="10" t="s">
        <v>23</v>
      </c>
      <c r="B14" s="22" t="s">
        <v>24</v>
      </c>
      <c r="C14" s="10">
        <v>49</v>
      </c>
      <c r="D14" s="10" t="s">
        <v>14</v>
      </c>
      <c r="E14" s="2"/>
      <c r="F14" s="2"/>
    </row>
    <row r="15" spans="1:6">
      <c r="A15" s="11" t="s">
        <v>25</v>
      </c>
      <c r="B15" s="23" t="s">
        <v>26</v>
      </c>
      <c r="C15" s="11">
        <v>112</v>
      </c>
      <c r="D15" s="11" t="s">
        <v>27</v>
      </c>
      <c r="E15" s="2"/>
      <c r="F15" s="2"/>
    </row>
    <row r="16" spans="1:6">
      <c r="A16" s="11" t="s">
        <v>28</v>
      </c>
      <c r="B16" s="23" t="s">
        <v>29</v>
      </c>
      <c r="C16" s="11">
        <v>89</v>
      </c>
      <c r="D16" s="11" t="s">
        <v>14</v>
      </c>
      <c r="E16" s="2"/>
      <c r="F16" s="2"/>
    </row>
    <row r="17" spans="1:6">
      <c r="A17" s="10" t="s">
        <v>30</v>
      </c>
      <c r="B17" s="23" t="s">
        <v>31</v>
      </c>
      <c r="C17" s="10">
        <v>62</v>
      </c>
      <c r="D17" s="10" t="s">
        <v>14</v>
      </c>
      <c r="E17" s="2"/>
      <c r="F17" s="2"/>
    </row>
    <row r="18" spans="1:6">
      <c r="A18" s="11" t="s">
        <v>32</v>
      </c>
      <c r="B18" s="23" t="s">
        <v>33</v>
      </c>
      <c r="C18" s="11">
        <v>68</v>
      </c>
      <c r="D18" s="11" t="s">
        <v>14</v>
      </c>
      <c r="E18" s="2"/>
      <c r="F18" s="2"/>
    </row>
    <row r="19" spans="1:6">
      <c r="A19" s="10" t="s">
        <v>34</v>
      </c>
      <c r="B19" s="23" t="s">
        <v>35</v>
      </c>
      <c r="C19" s="10">
        <v>57</v>
      </c>
      <c r="D19" s="10" t="s">
        <v>14</v>
      </c>
      <c r="E19" s="2"/>
      <c r="F19" s="2"/>
    </row>
    <row r="20" spans="1:6">
      <c r="A20" s="11" t="s">
        <v>36</v>
      </c>
      <c r="B20" s="23" t="s">
        <v>37</v>
      </c>
      <c r="C20" s="11">
        <v>78</v>
      </c>
      <c r="D20" s="11" t="s">
        <v>14</v>
      </c>
    </row>
    <row r="21" spans="1:6">
      <c r="A21" s="10" t="s">
        <v>38</v>
      </c>
      <c r="B21" s="23" t="s">
        <v>39</v>
      </c>
      <c r="C21" s="10">
        <v>49</v>
      </c>
      <c r="D21" s="10" t="s">
        <v>14</v>
      </c>
    </row>
    <row r="22" spans="1:6">
      <c r="A22" s="21" t="s">
        <v>40</v>
      </c>
      <c r="B22" s="23" t="s">
        <v>41</v>
      </c>
      <c r="C22" s="21">
        <v>68</v>
      </c>
      <c r="D22" s="21" t="s">
        <v>14</v>
      </c>
    </row>
  </sheetData>
  <mergeCells count="1">
    <mergeCell ref="A1:F1"/>
  </mergeCells>
  <hyperlinks>
    <hyperlink ref="B14" r:id="rId1" xr:uid="{7B093AAC-F05C-42FF-9F07-8CFEC49DA364}"/>
    <hyperlink ref="B16" r:id="rId2" xr:uid="{858DFAFC-C8CF-4E82-8F02-6529D73A937D}"/>
    <hyperlink ref="B17" r:id="rId3" xr:uid="{F63E21A6-C043-4243-8B8F-B18E00E8F1DA}"/>
    <hyperlink ref="B18" r:id="rId4" xr:uid="{2D224B4F-FD2C-44DF-95BB-CDDC208DBB81}"/>
    <hyperlink ref="B19" r:id="rId5" xr:uid="{1715BCA3-D232-4331-BB2C-E86D3AC9EC36}"/>
    <hyperlink ref="B20" r:id="rId6" xr:uid="{A21B8331-F00D-4713-A7DC-F0D73BA25762}"/>
    <hyperlink ref="B21" r:id="rId7" xr:uid="{56A6AE07-1CE4-43E9-B6FC-D4937AD9E71F}"/>
    <hyperlink ref="B22" r:id="rId8" xr:uid="{905DC651-0D2A-4A1F-948B-BFACE41AFC81}"/>
    <hyperlink ref="B15" r:id="rId9" xr:uid="{7EF154C5-A079-4987-B95B-FBFB901AC4C7}"/>
    <hyperlink ref="B10" r:id="rId10" xr:uid="{D4C954C5-DE46-489B-BD87-660C207A72AB}"/>
    <hyperlink ref="B9" r:id="rId11" xr:uid="{F670B005-60A8-4D1A-B940-DBD24B190E2E}"/>
    <hyperlink ref="B11" r:id="rId12" xr:uid="{8557B440-CC10-4AA7-814D-803A1288B46D}"/>
    <hyperlink ref="B12" r:id="rId13" xr:uid="{6549EC68-5604-41EA-9A73-F32DBD87C996}"/>
    <hyperlink ref="B13" r:id="rId14" xr:uid="{B06FDE4E-6962-477D-9939-F9BC8810D88D}"/>
  </hyperlinks>
  <pageMargins left="0.75" right="0.75" top="1" bottom="1" header="0.5" footer="0.5"/>
  <pageSetup orientation="portrait" r:id="rId15"/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F130"/>
  <sheetViews>
    <sheetView topLeftCell="B7" workbookViewId="0">
      <selection activeCell="B7" sqref="B7:B8"/>
    </sheetView>
  </sheetViews>
  <sheetFormatPr defaultRowHeight="15"/>
  <cols>
    <col min="1" max="1" width="26.7109375" style="20" bestFit="1" customWidth="1"/>
    <col min="2" max="2" width="28.5703125" customWidth="1"/>
    <col min="3" max="3" width="45" customWidth="1"/>
    <col min="4" max="4" width="20" customWidth="1"/>
    <col min="5" max="5" width="45" customWidth="1"/>
    <col min="6" max="6" width="20" customWidth="1"/>
  </cols>
  <sheetData>
    <row r="1" spans="1:6">
      <c r="A1" s="30" t="s">
        <v>1</v>
      </c>
      <c r="B1" s="31" t="s">
        <v>42</v>
      </c>
    </row>
    <row r="2" spans="1:6">
      <c r="A2" s="30" t="s">
        <v>43</v>
      </c>
      <c r="B2" s="32" t="s">
        <v>26</v>
      </c>
    </row>
    <row r="3" spans="1:6">
      <c r="A3" s="30" t="s">
        <v>44</v>
      </c>
      <c r="B3" s="6" t="s">
        <v>45</v>
      </c>
    </row>
    <row r="4" spans="1:6">
      <c r="A4" s="30" t="s">
        <v>46</v>
      </c>
      <c r="B4" s="32" t="s">
        <v>47</v>
      </c>
      <c r="C4" t="s">
        <v>48</v>
      </c>
    </row>
    <row r="5" spans="1:6">
      <c r="A5" s="30" t="s">
        <v>49</v>
      </c>
      <c r="B5" s="6" t="s">
        <v>50</v>
      </c>
    </row>
    <row r="6" spans="1:6">
      <c r="A6" s="30" t="s">
        <v>7</v>
      </c>
      <c r="B6" s="32" t="s">
        <v>8</v>
      </c>
    </row>
    <row r="7" spans="1:6">
      <c r="A7" s="30" t="s">
        <v>51</v>
      </c>
      <c r="B7" s="44">
        <v>46064</v>
      </c>
    </row>
    <row r="8" spans="1:6">
      <c r="A8" s="30" t="s">
        <v>52</v>
      </c>
      <c r="B8" s="32" t="s">
        <v>53</v>
      </c>
    </row>
    <row r="9" spans="1:6">
      <c r="A9" s="30" t="s">
        <v>54</v>
      </c>
      <c r="B9" s="43" t="s">
        <v>55</v>
      </c>
    </row>
    <row r="10" spans="1:6">
      <c r="A10" s="30" t="s">
        <v>56</v>
      </c>
      <c r="B10" s="32" t="s">
        <v>4</v>
      </c>
    </row>
    <row r="13" spans="1:6" ht="18.75">
      <c r="A13" s="17" t="s">
        <v>57</v>
      </c>
    </row>
    <row r="15" spans="1:6">
      <c r="A15" s="7" t="s">
        <v>58</v>
      </c>
      <c r="B15" s="7" t="s">
        <v>59</v>
      </c>
      <c r="C15" s="7" t="s">
        <v>60</v>
      </c>
      <c r="D15" s="7" t="s">
        <v>61</v>
      </c>
      <c r="E15" s="7" t="s">
        <v>62</v>
      </c>
      <c r="F15" s="7" t="s">
        <v>63</v>
      </c>
    </row>
    <row r="16" spans="1:6">
      <c r="A16" s="18">
        <v>35</v>
      </c>
      <c r="B16" s="8" t="s">
        <v>64</v>
      </c>
      <c r="C16" s="8" t="s">
        <v>65</v>
      </c>
      <c r="D16" s="8"/>
      <c r="E16" s="8" t="s">
        <v>65</v>
      </c>
      <c r="F16" s="8"/>
    </row>
    <row r="17" spans="1:6">
      <c r="A17" s="19">
        <v>36</v>
      </c>
      <c r="B17" s="9" t="s">
        <v>64</v>
      </c>
      <c r="C17" s="9" t="s">
        <v>66</v>
      </c>
      <c r="D17" s="9"/>
      <c r="E17" s="9" t="s">
        <v>66</v>
      </c>
      <c r="F17" s="9"/>
    </row>
    <row r="18" spans="1:6">
      <c r="A18" s="18">
        <v>57</v>
      </c>
      <c r="B18" s="8" t="s">
        <v>67</v>
      </c>
      <c r="C18" s="8" t="s">
        <v>68</v>
      </c>
      <c r="D18" s="8" t="s">
        <v>69</v>
      </c>
      <c r="E18" s="8" t="s">
        <v>70</v>
      </c>
      <c r="F18" s="8"/>
    </row>
    <row r="19" spans="1:6">
      <c r="A19" s="19">
        <v>59</v>
      </c>
      <c r="B19" s="9" t="s">
        <v>67</v>
      </c>
      <c r="C19" s="9" t="s">
        <v>71</v>
      </c>
      <c r="D19" s="9" t="s">
        <v>72</v>
      </c>
      <c r="E19" s="9" t="s">
        <v>72</v>
      </c>
      <c r="F19" s="9"/>
    </row>
    <row r="20" spans="1:6" ht="30">
      <c r="A20" s="18">
        <v>61</v>
      </c>
      <c r="B20" s="8" t="s">
        <v>67</v>
      </c>
      <c r="C20" s="8" t="s">
        <v>73</v>
      </c>
      <c r="D20" s="8" t="s">
        <v>74</v>
      </c>
      <c r="E20" s="8" t="s">
        <v>74</v>
      </c>
      <c r="F20" s="8"/>
    </row>
    <row r="21" spans="1:6">
      <c r="A21" s="19">
        <v>62</v>
      </c>
      <c r="B21" s="9" t="s">
        <v>67</v>
      </c>
      <c r="C21" s="9" t="s">
        <v>75</v>
      </c>
      <c r="D21" s="9" t="s">
        <v>76</v>
      </c>
      <c r="E21" s="9" t="s">
        <v>77</v>
      </c>
      <c r="F21" s="9" t="s">
        <v>78</v>
      </c>
    </row>
    <row r="22" spans="1:6">
      <c r="A22" s="18">
        <v>63</v>
      </c>
      <c r="B22" s="8" t="s">
        <v>67</v>
      </c>
      <c r="C22" s="8" t="s">
        <v>79</v>
      </c>
      <c r="D22" s="8" t="s">
        <v>80</v>
      </c>
      <c r="E22" s="8" t="s">
        <v>80</v>
      </c>
      <c r="F22" s="8"/>
    </row>
    <row r="23" spans="1:6" ht="33">
      <c r="A23" s="19">
        <v>83</v>
      </c>
      <c r="B23" s="9" t="s">
        <v>81</v>
      </c>
      <c r="C23" s="9" t="s">
        <v>82</v>
      </c>
      <c r="D23" s="9" t="s">
        <v>83</v>
      </c>
      <c r="E23" s="9" t="s">
        <v>84</v>
      </c>
      <c r="F23" s="9"/>
    </row>
    <row r="24" spans="1:6" ht="30">
      <c r="A24" s="18">
        <v>84</v>
      </c>
      <c r="B24" s="8" t="s">
        <v>81</v>
      </c>
      <c r="C24" s="8" t="s">
        <v>85</v>
      </c>
      <c r="D24" s="8" t="s">
        <v>86</v>
      </c>
      <c r="E24" s="8" t="s">
        <v>86</v>
      </c>
      <c r="F24" s="8"/>
    </row>
    <row r="25" spans="1:6">
      <c r="A25" s="19">
        <v>85</v>
      </c>
      <c r="B25" s="9" t="s">
        <v>81</v>
      </c>
      <c r="C25" s="9" t="s">
        <v>87</v>
      </c>
      <c r="D25" s="9"/>
      <c r="E25" s="9" t="s">
        <v>88</v>
      </c>
      <c r="F25" s="9"/>
    </row>
    <row r="26" spans="1:6" ht="30">
      <c r="A26" s="18">
        <v>93</v>
      </c>
      <c r="B26" s="8" t="s">
        <v>89</v>
      </c>
      <c r="C26" s="8" t="s">
        <v>90</v>
      </c>
      <c r="D26" s="8" t="s">
        <v>91</v>
      </c>
      <c r="E26" s="8" t="s">
        <v>92</v>
      </c>
      <c r="F26" s="8"/>
    </row>
    <row r="27" spans="1:6">
      <c r="A27" s="19">
        <v>97</v>
      </c>
      <c r="B27" s="9" t="s">
        <v>93</v>
      </c>
      <c r="C27" s="9" t="s">
        <v>94</v>
      </c>
      <c r="D27" s="9" t="s">
        <v>95</v>
      </c>
      <c r="E27" s="9" t="s">
        <v>96</v>
      </c>
      <c r="F27" s="9"/>
    </row>
    <row r="28" spans="1:6">
      <c r="A28" s="18">
        <v>101</v>
      </c>
      <c r="B28" s="8" t="s">
        <v>97</v>
      </c>
      <c r="C28" s="8" t="s">
        <v>98</v>
      </c>
      <c r="D28" s="8"/>
      <c r="E28" s="8" t="s">
        <v>99</v>
      </c>
      <c r="F28" s="8"/>
    </row>
    <row r="29" spans="1:6">
      <c r="A29" s="19">
        <v>102</v>
      </c>
      <c r="B29" s="9" t="s">
        <v>97</v>
      </c>
      <c r="C29" s="9" t="s">
        <v>100</v>
      </c>
      <c r="D29" s="9" t="s">
        <v>101</v>
      </c>
      <c r="E29" s="9" t="s">
        <v>102</v>
      </c>
      <c r="F29" s="9" t="s">
        <v>101</v>
      </c>
    </row>
    <row r="30" spans="1:6">
      <c r="A30" s="18">
        <v>103</v>
      </c>
      <c r="B30" s="8" t="s">
        <v>97</v>
      </c>
      <c r="C30" s="8" t="s">
        <v>103</v>
      </c>
      <c r="D30" s="8" t="s">
        <v>104</v>
      </c>
      <c r="E30" s="8" t="s">
        <v>104</v>
      </c>
      <c r="F30" s="8"/>
    </row>
    <row r="31" spans="1:6" ht="30">
      <c r="A31" s="19">
        <v>108</v>
      </c>
      <c r="B31" s="9" t="s">
        <v>105</v>
      </c>
      <c r="C31" s="9" t="s">
        <v>106</v>
      </c>
      <c r="D31" s="9" t="s">
        <v>107</v>
      </c>
      <c r="E31" s="9" t="s">
        <v>108</v>
      </c>
      <c r="F31" s="9" t="s">
        <v>109</v>
      </c>
    </row>
    <row r="32" spans="1:6" ht="30">
      <c r="A32" s="18">
        <v>109</v>
      </c>
      <c r="B32" s="8" t="s">
        <v>105</v>
      </c>
      <c r="C32" s="8" t="s">
        <v>110</v>
      </c>
      <c r="D32" s="8" t="s">
        <v>111</v>
      </c>
      <c r="E32" s="8" t="s">
        <v>112</v>
      </c>
      <c r="F32" s="8" t="s">
        <v>113</v>
      </c>
    </row>
    <row r="33" spans="1:6" ht="30">
      <c r="A33" s="19">
        <v>114</v>
      </c>
      <c r="B33" s="9" t="s">
        <v>114</v>
      </c>
      <c r="C33" s="9" t="s">
        <v>115</v>
      </c>
      <c r="D33" s="9" t="s">
        <v>91</v>
      </c>
      <c r="E33" s="9" t="s">
        <v>116</v>
      </c>
      <c r="F33" s="9"/>
    </row>
    <row r="34" spans="1:6" ht="30">
      <c r="A34" s="18">
        <v>117</v>
      </c>
      <c r="B34" s="8" t="s">
        <v>117</v>
      </c>
      <c r="C34" s="8" t="s">
        <v>118</v>
      </c>
      <c r="D34" s="8"/>
      <c r="E34" s="8" t="s">
        <v>119</v>
      </c>
      <c r="F34" s="8"/>
    </row>
    <row r="35" spans="1:6" ht="30">
      <c r="A35" s="19">
        <v>118</v>
      </c>
      <c r="B35" s="9" t="s">
        <v>117</v>
      </c>
      <c r="C35" s="9" t="s">
        <v>120</v>
      </c>
      <c r="D35" s="9" t="s">
        <v>121</v>
      </c>
      <c r="E35" s="9" t="s">
        <v>122</v>
      </c>
      <c r="F35" s="9"/>
    </row>
    <row r="36" spans="1:6" ht="45">
      <c r="A36" s="18">
        <v>119</v>
      </c>
      <c r="B36" s="8" t="s">
        <v>117</v>
      </c>
      <c r="C36" s="8" t="s">
        <v>123</v>
      </c>
      <c r="D36" s="8" t="s">
        <v>124</v>
      </c>
      <c r="E36" s="8" t="s">
        <v>125</v>
      </c>
      <c r="F36" s="8"/>
    </row>
    <row r="37" spans="1:6" ht="45">
      <c r="A37" s="19">
        <v>128</v>
      </c>
      <c r="B37" s="9" t="s">
        <v>126</v>
      </c>
      <c r="C37" s="9" t="s">
        <v>127</v>
      </c>
      <c r="D37" s="9"/>
      <c r="E37" s="9" t="s">
        <v>128</v>
      </c>
      <c r="F37" s="9"/>
    </row>
    <row r="38" spans="1:6" ht="45">
      <c r="A38" s="18">
        <v>138</v>
      </c>
      <c r="B38" s="8" t="s">
        <v>129</v>
      </c>
      <c r="C38" s="8" t="s">
        <v>130</v>
      </c>
      <c r="D38" s="8" t="s">
        <v>131</v>
      </c>
      <c r="E38" s="8" t="s">
        <v>132</v>
      </c>
      <c r="F38" s="8" t="s">
        <v>131</v>
      </c>
    </row>
    <row r="39" spans="1:6">
      <c r="A39" s="19">
        <v>160</v>
      </c>
      <c r="B39" s="9" t="s">
        <v>133</v>
      </c>
      <c r="C39" s="9" t="s">
        <v>134</v>
      </c>
      <c r="D39" s="9" t="s">
        <v>135</v>
      </c>
      <c r="E39" s="9" t="s">
        <v>135</v>
      </c>
      <c r="F39" s="9"/>
    </row>
    <row r="40" spans="1:6">
      <c r="A40" s="18">
        <v>165</v>
      </c>
      <c r="B40" s="8" t="s">
        <v>136</v>
      </c>
      <c r="C40" s="8" t="s">
        <v>137</v>
      </c>
      <c r="D40" t="s">
        <v>138</v>
      </c>
      <c r="E40" s="8" t="s">
        <v>139</v>
      </c>
      <c r="F40" s="8" t="s">
        <v>138</v>
      </c>
    </row>
    <row r="41" spans="1:6">
      <c r="A41" s="19">
        <v>170</v>
      </c>
      <c r="B41" s="9" t="s">
        <v>140</v>
      </c>
      <c r="C41" s="9" t="s">
        <v>141</v>
      </c>
      <c r="D41" s="9" t="s">
        <v>142</v>
      </c>
      <c r="E41" s="9" t="s">
        <v>143</v>
      </c>
      <c r="F41" s="9"/>
    </row>
    <row r="42" spans="1:6">
      <c r="A42" s="18">
        <v>177</v>
      </c>
      <c r="B42" s="8" t="s">
        <v>144</v>
      </c>
      <c r="C42" s="8" t="s">
        <v>145</v>
      </c>
      <c r="D42" s="8" t="s">
        <v>146</v>
      </c>
      <c r="E42" s="8" t="s">
        <v>146</v>
      </c>
      <c r="F42" s="8"/>
    </row>
    <row r="43" spans="1:6">
      <c r="A43" s="19">
        <v>182</v>
      </c>
      <c r="B43" s="9" t="s">
        <v>147</v>
      </c>
      <c r="C43" s="9" t="s">
        <v>148</v>
      </c>
      <c r="D43" s="9"/>
      <c r="E43" s="9" t="s">
        <v>149</v>
      </c>
      <c r="F43" s="9"/>
    </row>
    <row r="44" spans="1:6" ht="16.5">
      <c r="A44" s="18">
        <v>184</v>
      </c>
      <c r="B44" s="8" t="s">
        <v>147</v>
      </c>
      <c r="C44" s="8" t="s">
        <v>68</v>
      </c>
      <c r="D44" s="8" t="s">
        <v>69</v>
      </c>
      <c r="E44" s="8" t="s">
        <v>70</v>
      </c>
      <c r="F44" s="8"/>
    </row>
    <row r="45" spans="1:6">
      <c r="A45" s="19">
        <v>186</v>
      </c>
      <c r="B45" s="9" t="s">
        <v>147</v>
      </c>
      <c r="C45" s="9" t="s">
        <v>71</v>
      </c>
      <c r="D45" s="9" t="s">
        <v>72</v>
      </c>
      <c r="E45" s="9" t="s">
        <v>72</v>
      </c>
      <c r="F45" s="9"/>
    </row>
    <row r="46" spans="1:6">
      <c r="A46" s="18">
        <v>188</v>
      </c>
      <c r="B46" s="8" t="s">
        <v>147</v>
      </c>
      <c r="C46" s="8" t="s">
        <v>150</v>
      </c>
      <c r="D46" s="8" t="s">
        <v>151</v>
      </c>
      <c r="E46" s="8" t="s">
        <v>152</v>
      </c>
      <c r="F46" s="8" t="s">
        <v>151</v>
      </c>
    </row>
    <row r="47" spans="1:6">
      <c r="A47" s="19">
        <v>190</v>
      </c>
      <c r="B47" s="9" t="s">
        <v>147</v>
      </c>
      <c r="C47" s="9" t="s">
        <v>153</v>
      </c>
      <c r="D47" t="s">
        <v>154</v>
      </c>
      <c r="E47" s="9" t="s">
        <v>155</v>
      </c>
      <c r="F47" s="9"/>
    </row>
    <row r="48" spans="1:6" ht="30">
      <c r="A48" s="18">
        <v>192</v>
      </c>
      <c r="B48" s="8" t="s">
        <v>147</v>
      </c>
      <c r="C48" s="8" t="s">
        <v>73</v>
      </c>
      <c r="D48" s="8" t="s">
        <v>156</v>
      </c>
      <c r="E48" s="8" t="s">
        <v>74</v>
      </c>
      <c r="F48" s="8" t="s">
        <v>156</v>
      </c>
    </row>
    <row r="49" spans="1:6">
      <c r="A49" s="19">
        <v>194</v>
      </c>
      <c r="B49" s="9" t="s">
        <v>147</v>
      </c>
      <c r="C49" s="9" t="s">
        <v>157</v>
      </c>
      <c r="D49" s="9" t="s">
        <v>158</v>
      </c>
      <c r="E49" s="9" t="s">
        <v>159</v>
      </c>
      <c r="F49" s="9"/>
    </row>
    <row r="50" spans="1:6">
      <c r="A50" s="18">
        <v>196</v>
      </c>
      <c r="B50" s="8" t="s">
        <v>147</v>
      </c>
      <c r="C50" s="8" t="s">
        <v>160</v>
      </c>
      <c r="D50" s="8" t="s">
        <v>161</v>
      </c>
      <c r="E50" s="8" t="s">
        <v>161</v>
      </c>
      <c r="F50" s="8"/>
    </row>
    <row r="51" spans="1:6">
      <c r="A51" s="19">
        <v>197</v>
      </c>
      <c r="B51" s="9" t="s">
        <v>147</v>
      </c>
      <c r="C51" s="9" t="s">
        <v>162</v>
      </c>
      <c r="D51" s="9" t="s">
        <v>163</v>
      </c>
      <c r="E51" s="9" t="s">
        <v>164</v>
      </c>
      <c r="F51" t="s">
        <v>165</v>
      </c>
    </row>
    <row r="52" spans="1:6">
      <c r="A52" s="18">
        <v>199</v>
      </c>
      <c r="B52" s="8" t="s">
        <v>147</v>
      </c>
      <c r="C52" s="8" t="s">
        <v>166</v>
      </c>
      <c r="D52" s="8"/>
      <c r="E52" s="8" t="s">
        <v>167</v>
      </c>
      <c r="F52" s="8"/>
    </row>
    <row r="53" spans="1:6" ht="30">
      <c r="A53" s="19">
        <v>200</v>
      </c>
      <c r="B53" s="9" t="s">
        <v>147</v>
      </c>
      <c r="C53" s="9" t="s">
        <v>168</v>
      </c>
      <c r="D53" s="9" t="s">
        <v>169</v>
      </c>
      <c r="E53" s="9" t="s">
        <v>170</v>
      </c>
      <c r="F53" s="9"/>
    </row>
    <row r="54" spans="1:6">
      <c r="A54" s="18">
        <v>202</v>
      </c>
      <c r="B54" s="8" t="s">
        <v>147</v>
      </c>
      <c r="C54" s="8" t="s">
        <v>171</v>
      </c>
      <c r="D54" s="8"/>
      <c r="E54" s="8" t="s">
        <v>172</v>
      </c>
      <c r="F54" s="8"/>
    </row>
    <row r="55" spans="1:6">
      <c r="A55" s="19">
        <v>203</v>
      </c>
      <c r="B55" s="9" t="s">
        <v>147</v>
      </c>
      <c r="C55" s="9" t="s">
        <v>173</v>
      </c>
      <c r="D55" s="9" t="s">
        <v>174</v>
      </c>
      <c r="E55" s="9" t="s">
        <v>174</v>
      </c>
      <c r="F55" s="9"/>
    </row>
    <row r="56" spans="1:6">
      <c r="A56" s="18">
        <v>205</v>
      </c>
      <c r="B56" s="8" t="s">
        <v>147</v>
      </c>
      <c r="C56" s="8" t="s">
        <v>175</v>
      </c>
      <c r="D56" s="8"/>
      <c r="E56" s="8" t="s">
        <v>176</v>
      </c>
      <c r="F56" s="8"/>
    </row>
    <row r="57" spans="1:6">
      <c r="A57" s="19">
        <v>214</v>
      </c>
      <c r="B57" s="9" t="s">
        <v>177</v>
      </c>
      <c r="C57" s="9" t="s">
        <v>178</v>
      </c>
      <c r="D57" s="9"/>
      <c r="E57" s="9" t="s">
        <v>179</v>
      </c>
      <c r="F57" s="9"/>
    </row>
    <row r="58" spans="1:6" ht="16.5">
      <c r="A58" s="18">
        <v>226</v>
      </c>
      <c r="B58" s="8" t="s">
        <v>180</v>
      </c>
      <c r="C58" s="8" t="s">
        <v>181</v>
      </c>
      <c r="D58" s="8" t="s">
        <v>182</v>
      </c>
      <c r="E58" s="8" t="s">
        <v>183</v>
      </c>
      <c r="F58" s="8"/>
    </row>
    <row r="59" spans="1:6" ht="16.5">
      <c r="A59" s="19">
        <v>227</v>
      </c>
      <c r="B59" s="9" t="s">
        <v>180</v>
      </c>
      <c r="C59" s="9" t="s">
        <v>184</v>
      </c>
      <c r="D59" s="9" t="s">
        <v>185</v>
      </c>
      <c r="E59" s="9" t="s">
        <v>186</v>
      </c>
      <c r="F59" s="9"/>
    </row>
    <row r="60" spans="1:6">
      <c r="A60" s="18">
        <v>229</v>
      </c>
      <c r="B60" s="8" t="s">
        <v>187</v>
      </c>
      <c r="C60" s="8" t="s">
        <v>188</v>
      </c>
      <c r="D60" s="8" t="s">
        <v>189</v>
      </c>
      <c r="E60" s="8" t="s">
        <v>189</v>
      </c>
      <c r="F60" s="8"/>
    </row>
    <row r="61" spans="1:6">
      <c r="A61" s="19">
        <v>231</v>
      </c>
      <c r="B61" s="9" t="s">
        <v>187</v>
      </c>
      <c r="C61" s="9" t="s">
        <v>190</v>
      </c>
      <c r="D61" s="9" t="s">
        <v>191</v>
      </c>
      <c r="E61" s="9" t="s">
        <v>191</v>
      </c>
      <c r="F61" s="9"/>
    </row>
    <row r="62" spans="1:6" ht="16.5">
      <c r="A62" s="18">
        <v>232</v>
      </c>
      <c r="B62" s="8" t="s">
        <v>187</v>
      </c>
      <c r="C62" s="8" t="s">
        <v>192</v>
      </c>
      <c r="D62" s="8" t="s">
        <v>193</v>
      </c>
      <c r="E62" s="8" t="s">
        <v>194</v>
      </c>
      <c r="F62" s="8"/>
    </row>
    <row r="63" spans="1:6" ht="16.5">
      <c r="A63" s="19">
        <v>234</v>
      </c>
      <c r="B63" s="9" t="s">
        <v>187</v>
      </c>
      <c r="C63" s="9" t="s">
        <v>195</v>
      </c>
      <c r="D63" s="9" t="s">
        <v>196</v>
      </c>
      <c r="E63" s="9" t="s">
        <v>196</v>
      </c>
      <c r="F63" s="9"/>
    </row>
    <row r="64" spans="1:6">
      <c r="A64" s="18">
        <v>238</v>
      </c>
      <c r="B64" s="8" t="s">
        <v>187</v>
      </c>
      <c r="C64" s="8" t="s">
        <v>197</v>
      </c>
      <c r="D64" s="8" t="s">
        <v>198</v>
      </c>
      <c r="E64" s="8" t="s">
        <v>198</v>
      </c>
      <c r="F64" s="8"/>
    </row>
    <row r="65" spans="1:6" ht="16.5">
      <c r="A65" s="19">
        <v>239</v>
      </c>
      <c r="B65" s="9" t="s">
        <v>187</v>
      </c>
      <c r="C65" s="9" t="s">
        <v>199</v>
      </c>
      <c r="D65" s="9" t="s">
        <v>200</v>
      </c>
      <c r="E65" s="9" t="s">
        <v>201</v>
      </c>
      <c r="F65" s="9"/>
    </row>
    <row r="66" spans="1:6" ht="16.5">
      <c r="A66" s="18">
        <v>241</v>
      </c>
      <c r="B66" s="8" t="s">
        <v>187</v>
      </c>
      <c r="C66" s="8" t="s">
        <v>202</v>
      </c>
      <c r="D66" s="8" t="s">
        <v>203</v>
      </c>
      <c r="E66" s="8" t="s">
        <v>204</v>
      </c>
      <c r="F66" s="8"/>
    </row>
    <row r="67" spans="1:6">
      <c r="A67" s="19">
        <v>244</v>
      </c>
      <c r="B67" s="9" t="s">
        <v>187</v>
      </c>
      <c r="C67" s="9" t="s">
        <v>205</v>
      </c>
      <c r="D67" s="9"/>
      <c r="E67" s="9" t="s">
        <v>206</v>
      </c>
      <c r="F67" s="9"/>
    </row>
    <row r="68" spans="1:6" ht="16.5">
      <c r="A68" s="18">
        <v>248</v>
      </c>
      <c r="B68" s="8" t="s">
        <v>187</v>
      </c>
      <c r="C68" s="8" t="s">
        <v>207</v>
      </c>
      <c r="D68" s="8" t="s">
        <v>208</v>
      </c>
      <c r="E68" s="8" t="s">
        <v>208</v>
      </c>
      <c r="F68" s="8"/>
    </row>
    <row r="69" spans="1:6">
      <c r="A69" s="19">
        <v>250</v>
      </c>
      <c r="B69" s="9" t="s">
        <v>187</v>
      </c>
      <c r="C69" s="9" t="s">
        <v>209</v>
      </c>
      <c r="D69" s="9" t="s">
        <v>210</v>
      </c>
      <c r="E69" s="9" t="s">
        <v>210</v>
      </c>
      <c r="F69" s="9"/>
    </row>
    <row r="70" spans="1:6">
      <c r="A70" s="18">
        <v>252</v>
      </c>
      <c r="B70" s="8" t="s">
        <v>187</v>
      </c>
      <c r="C70" s="8" t="s">
        <v>211</v>
      </c>
      <c r="D70" s="8" t="s">
        <v>212</v>
      </c>
      <c r="E70" s="8" t="s">
        <v>212</v>
      </c>
      <c r="F70" s="8"/>
    </row>
    <row r="71" spans="1:6">
      <c r="A71" s="19">
        <v>256</v>
      </c>
      <c r="B71" s="9" t="s">
        <v>187</v>
      </c>
      <c r="C71" s="9" t="s">
        <v>213</v>
      </c>
      <c r="D71" s="9" t="s">
        <v>214</v>
      </c>
      <c r="E71" s="9" t="s">
        <v>214</v>
      </c>
      <c r="F71" s="9"/>
    </row>
    <row r="72" spans="1:6">
      <c r="A72" s="18">
        <v>258</v>
      </c>
      <c r="B72" s="8" t="s">
        <v>187</v>
      </c>
      <c r="C72" s="8" t="s">
        <v>215</v>
      </c>
      <c r="D72" s="8" t="s">
        <v>216</v>
      </c>
      <c r="E72" s="8" t="s">
        <v>216</v>
      </c>
      <c r="F72" s="8"/>
    </row>
    <row r="73" spans="1:6">
      <c r="A73" s="19">
        <v>259</v>
      </c>
      <c r="B73" s="9" t="s">
        <v>187</v>
      </c>
      <c r="C73" s="9" t="s">
        <v>217</v>
      </c>
      <c r="D73" s="9" t="s">
        <v>218</v>
      </c>
      <c r="E73" s="9" t="s">
        <v>218</v>
      </c>
      <c r="F73" s="9"/>
    </row>
    <row r="74" spans="1:6" ht="16.5">
      <c r="A74" s="18">
        <v>261</v>
      </c>
      <c r="B74" s="8" t="s">
        <v>187</v>
      </c>
      <c r="C74" s="8" t="s">
        <v>219</v>
      </c>
      <c r="D74" s="8"/>
      <c r="E74" s="8" t="s">
        <v>220</v>
      </c>
      <c r="F74" s="8"/>
    </row>
    <row r="75" spans="1:6" ht="16.5">
      <c r="A75" s="19">
        <v>263</v>
      </c>
      <c r="B75" s="9" t="s">
        <v>187</v>
      </c>
      <c r="C75" s="9" t="s">
        <v>221</v>
      </c>
      <c r="D75" s="9" t="s">
        <v>222</v>
      </c>
      <c r="E75" s="9" t="s">
        <v>222</v>
      </c>
      <c r="F75" s="9"/>
    </row>
    <row r="76" spans="1:6">
      <c r="A76" s="18">
        <v>276</v>
      </c>
      <c r="B76" s="8" t="s">
        <v>223</v>
      </c>
      <c r="C76" s="8" t="s">
        <v>224</v>
      </c>
      <c r="D76" s="8" t="s">
        <v>225</v>
      </c>
      <c r="E76" s="8" t="s">
        <v>225</v>
      </c>
      <c r="F76" s="8"/>
    </row>
    <row r="77" spans="1:6">
      <c r="A77" s="19">
        <v>283</v>
      </c>
      <c r="B77" s="9" t="s">
        <v>226</v>
      </c>
      <c r="C77" s="9" t="s">
        <v>227</v>
      </c>
      <c r="D77" s="9"/>
      <c r="E77" s="9" t="s">
        <v>228</v>
      </c>
      <c r="F77" s="9"/>
    </row>
    <row r="78" spans="1:6" ht="30">
      <c r="A78" s="18">
        <v>284</v>
      </c>
      <c r="B78" s="8" t="s">
        <v>226</v>
      </c>
      <c r="C78" s="8" t="s">
        <v>229</v>
      </c>
      <c r="D78" s="8" t="s">
        <v>230</v>
      </c>
      <c r="E78" s="8" t="s">
        <v>230</v>
      </c>
      <c r="F78" s="8"/>
    </row>
    <row r="79" spans="1:6">
      <c r="A79" s="19">
        <v>290</v>
      </c>
      <c r="B79" s="9" t="s">
        <v>231</v>
      </c>
      <c r="C79" s="9" t="s">
        <v>232</v>
      </c>
      <c r="D79" s="9"/>
      <c r="E79" s="9" t="s">
        <v>233</v>
      </c>
      <c r="F79" s="9"/>
    </row>
    <row r="80" spans="1:6">
      <c r="A80" s="18">
        <v>291</v>
      </c>
      <c r="B80" s="8" t="s">
        <v>231</v>
      </c>
      <c r="C80" s="8" t="s">
        <v>234</v>
      </c>
      <c r="D80" s="8"/>
      <c r="E80" s="8" t="s">
        <v>235</v>
      </c>
      <c r="F80" s="8"/>
    </row>
    <row r="81" spans="1:6">
      <c r="A81" s="19">
        <v>294</v>
      </c>
      <c r="B81" s="9" t="s">
        <v>231</v>
      </c>
      <c r="C81" s="9" t="s">
        <v>236</v>
      </c>
      <c r="D81" s="9"/>
      <c r="E81" s="9" t="s">
        <v>237</v>
      </c>
      <c r="F81" s="9"/>
    </row>
    <row r="82" spans="1:6" ht="33">
      <c r="A82" s="18">
        <v>295</v>
      </c>
      <c r="B82" s="8" t="s">
        <v>231</v>
      </c>
      <c r="C82" s="8" t="s">
        <v>238</v>
      </c>
      <c r="D82" s="8" t="s">
        <v>239</v>
      </c>
      <c r="E82" s="8" t="s">
        <v>240</v>
      </c>
      <c r="F82" s="8"/>
    </row>
    <row r="83" spans="1:6">
      <c r="A83" s="19">
        <v>298</v>
      </c>
      <c r="B83" s="9" t="s">
        <v>231</v>
      </c>
      <c r="C83" s="9" t="s">
        <v>241</v>
      </c>
      <c r="D83" s="9"/>
      <c r="E83" s="9" t="s">
        <v>242</v>
      </c>
      <c r="F83" s="9"/>
    </row>
    <row r="84" spans="1:6" ht="33">
      <c r="A84" s="18">
        <v>299</v>
      </c>
      <c r="B84" s="8" t="s">
        <v>231</v>
      </c>
      <c r="C84" s="8" t="s">
        <v>243</v>
      </c>
      <c r="D84" s="8" t="s">
        <v>244</v>
      </c>
      <c r="E84" s="8" t="s">
        <v>245</v>
      </c>
      <c r="F84" s="8" t="s">
        <v>244</v>
      </c>
    </row>
    <row r="85" spans="1:6" ht="16.5">
      <c r="A85" s="19">
        <v>304</v>
      </c>
      <c r="B85" s="9" t="s">
        <v>246</v>
      </c>
      <c r="C85" s="9" t="s">
        <v>247</v>
      </c>
      <c r="D85" s="9" t="s">
        <v>248</v>
      </c>
      <c r="E85" s="9" t="s">
        <v>249</v>
      </c>
      <c r="F85" s="9"/>
    </row>
    <row r="86" spans="1:6" ht="45">
      <c r="A86" s="18">
        <v>305</v>
      </c>
      <c r="B86" s="8" t="s">
        <v>246</v>
      </c>
      <c r="C86" s="8" t="s">
        <v>250</v>
      </c>
      <c r="D86" s="8" t="s">
        <v>251</v>
      </c>
      <c r="E86" s="8" t="s">
        <v>251</v>
      </c>
      <c r="F86" s="8"/>
    </row>
    <row r="87" spans="1:6" ht="30">
      <c r="A87" s="19">
        <v>312</v>
      </c>
      <c r="B87" s="9" t="s">
        <v>252</v>
      </c>
      <c r="C87" s="9" t="s">
        <v>253</v>
      </c>
      <c r="D87" s="9" t="s">
        <v>254</v>
      </c>
      <c r="E87" s="9" t="s">
        <v>254</v>
      </c>
      <c r="F87" s="9"/>
    </row>
    <row r="88" spans="1:6">
      <c r="A88" s="18">
        <v>315</v>
      </c>
      <c r="B88" s="8" t="s">
        <v>255</v>
      </c>
      <c r="C88" s="8" t="s">
        <v>256</v>
      </c>
      <c r="D88" s="8"/>
      <c r="E88" s="8" t="s">
        <v>257</v>
      </c>
      <c r="F88" s="8"/>
    </row>
    <row r="89" spans="1:6">
      <c r="A89" s="19">
        <v>316</v>
      </c>
      <c r="B89" s="9" t="s">
        <v>255</v>
      </c>
      <c r="C89" s="9" t="s">
        <v>258</v>
      </c>
      <c r="D89" s="9"/>
      <c r="E89" s="9" t="s">
        <v>259</v>
      </c>
      <c r="F89" s="9"/>
    </row>
    <row r="90" spans="1:6">
      <c r="A90" s="18">
        <v>317</v>
      </c>
      <c r="B90" s="8" t="s">
        <v>255</v>
      </c>
      <c r="C90" s="8" t="s">
        <v>260</v>
      </c>
      <c r="D90" s="8" t="s">
        <v>261</v>
      </c>
      <c r="E90" s="8" t="s">
        <v>262</v>
      </c>
      <c r="F90" s="8"/>
    </row>
    <row r="91" spans="1:6">
      <c r="A91" s="19">
        <v>321</v>
      </c>
      <c r="B91" s="9" t="s">
        <v>255</v>
      </c>
      <c r="C91" s="9" t="s">
        <v>263</v>
      </c>
      <c r="D91" s="9" t="s">
        <v>264</v>
      </c>
      <c r="E91" s="9" t="s">
        <v>265</v>
      </c>
      <c r="F91" s="9"/>
    </row>
    <row r="92" spans="1:6">
      <c r="A92" s="18">
        <v>325</v>
      </c>
      <c r="B92" s="8" t="s">
        <v>255</v>
      </c>
      <c r="C92" s="8" t="s">
        <v>266</v>
      </c>
      <c r="D92" s="8"/>
      <c r="E92" s="8" t="s">
        <v>267</v>
      </c>
      <c r="F92" s="8"/>
    </row>
    <row r="93" spans="1:6" ht="30">
      <c r="A93" s="19">
        <v>327</v>
      </c>
      <c r="B93" s="9" t="s">
        <v>255</v>
      </c>
      <c r="C93" s="9" t="s">
        <v>268</v>
      </c>
      <c r="D93" s="9" t="s">
        <v>269</v>
      </c>
      <c r="E93" s="9" t="s">
        <v>270</v>
      </c>
      <c r="F93" s="9"/>
    </row>
    <row r="94" spans="1:6" ht="16.5">
      <c r="A94" s="18">
        <v>330</v>
      </c>
      <c r="B94" s="8" t="s">
        <v>255</v>
      </c>
      <c r="C94" s="8" t="s">
        <v>271</v>
      </c>
      <c r="D94" s="8" t="s">
        <v>272</v>
      </c>
      <c r="E94" s="8" t="s">
        <v>273</v>
      </c>
      <c r="F94" s="8"/>
    </row>
    <row r="95" spans="1:6">
      <c r="A95" s="19">
        <v>331</v>
      </c>
      <c r="B95" s="9" t="s">
        <v>255</v>
      </c>
      <c r="C95" s="9" t="s">
        <v>274</v>
      </c>
      <c r="D95" s="9"/>
      <c r="E95" s="9" t="s">
        <v>275</v>
      </c>
      <c r="F95" s="9"/>
    </row>
    <row r="96" spans="1:6">
      <c r="A96" s="18">
        <v>335</v>
      </c>
      <c r="B96" s="8" t="s">
        <v>255</v>
      </c>
      <c r="C96" s="8" t="s">
        <v>276</v>
      </c>
      <c r="D96" s="8"/>
      <c r="E96" s="8" t="s">
        <v>277</v>
      </c>
      <c r="F96" s="8"/>
    </row>
    <row r="97" spans="1:6">
      <c r="A97" s="19">
        <v>336</v>
      </c>
      <c r="B97" s="9" t="s">
        <v>255</v>
      </c>
      <c r="C97" s="9" t="s">
        <v>278</v>
      </c>
      <c r="D97" s="9" t="s">
        <v>279</v>
      </c>
      <c r="E97" s="9" t="s">
        <v>280</v>
      </c>
      <c r="F97" s="9"/>
    </row>
    <row r="98" spans="1:6">
      <c r="A98" s="18">
        <v>339</v>
      </c>
      <c r="B98" s="8" t="s">
        <v>255</v>
      </c>
      <c r="C98" s="8" t="s">
        <v>281</v>
      </c>
      <c r="D98" s="8" t="s">
        <v>282</v>
      </c>
      <c r="E98" s="8" t="s">
        <v>283</v>
      </c>
      <c r="F98" s="8"/>
    </row>
    <row r="99" spans="1:6">
      <c r="A99" s="19">
        <v>346</v>
      </c>
      <c r="B99" s="9" t="s">
        <v>255</v>
      </c>
      <c r="C99" s="9" t="s">
        <v>284</v>
      </c>
      <c r="D99" s="9"/>
      <c r="E99" s="9" t="s">
        <v>285</v>
      </c>
      <c r="F99" s="9"/>
    </row>
    <row r="100" spans="1:6">
      <c r="A100" s="18">
        <v>355</v>
      </c>
      <c r="B100" s="8" t="s">
        <v>255</v>
      </c>
      <c r="C100" s="8" t="s">
        <v>286</v>
      </c>
      <c r="D100" s="8"/>
      <c r="E100" s="8" t="s">
        <v>287</v>
      </c>
      <c r="F100" s="8"/>
    </row>
    <row r="101" spans="1:6">
      <c r="A101" s="19">
        <v>356</v>
      </c>
      <c r="B101" s="9" t="s">
        <v>255</v>
      </c>
      <c r="C101" s="9" t="s">
        <v>288</v>
      </c>
      <c r="D101" s="9" t="s">
        <v>289</v>
      </c>
      <c r="E101" s="9" t="s">
        <v>289</v>
      </c>
      <c r="F101" s="9"/>
    </row>
    <row r="102" spans="1:6">
      <c r="A102" s="18">
        <v>361</v>
      </c>
      <c r="B102" s="8" t="s">
        <v>290</v>
      </c>
      <c r="C102" s="8" t="s">
        <v>291</v>
      </c>
      <c r="D102" s="8"/>
      <c r="E102" s="8" t="s">
        <v>292</v>
      </c>
      <c r="F102" s="8"/>
    </row>
    <row r="103" spans="1:6" ht="30">
      <c r="A103" s="19">
        <v>366</v>
      </c>
      <c r="B103" s="9" t="s">
        <v>293</v>
      </c>
      <c r="C103" s="9" t="s">
        <v>294</v>
      </c>
      <c r="D103" s="9" t="s">
        <v>295</v>
      </c>
      <c r="E103" s="9" t="s">
        <v>295</v>
      </c>
      <c r="F103" s="9"/>
    </row>
    <row r="104" spans="1:6" ht="30">
      <c r="A104" s="18">
        <v>367</v>
      </c>
      <c r="B104" s="8" t="s">
        <v>293</v>
      </c>
      <c r="C104" s="8" t="s">
        <v>296</v>
      </c>
      <c r="D104" s="8" t="s">
        <v>297</v>
      </c>
      <c r="E104" s="8" t="s">
        <v>297</v>
      </c>
      <c r="F104" s="8"/>
    </row>
    <row r="105" spans="1:6">
      <c r="A105" s="19">
        <v>370</v>
      </c>
      <c r="B105" s="9" t="s">
        <v>293</v>
      </c>
      <c r="C105" s="9" t="s">
        <v>298</v>
      </c>
      <c r="D105" s="9"/>
      <c r="E105" s="9" t="s">
        <v>299</v>
      </c>
      <c r="F105" s="9"/>
    </row>
    <row r="106" spans="1:6">
      <c r="A106" s="18">
        <v>372</v>
      </c>
      <c r="B106" s="8" t="s">
        <v>293</v>
      </c>
      <c r="C106" s="8" t="s">
        <v>300</v>
      </c>
      <c r="D106" s="8" t="s">
        <v>301</v>
      </c>
      <c r="E106" s="8" t="s">
        <v>301</v>
      </c>
      <c r="F106" s="8"/>
    </row>
    <row r="107" spans="1:6">
      <c r="A107" s="19">
        <v>374</v>
      </c>
      <c r="B107" s="9" t="s">
        <v>293</v>
      </c>
      <c r="C107" s="9" t="s">
        <v>302</v>
      </c>
      <c r="D107" s="9"/>
      <c r="E107" s="9" t="s">
        <v>303</v>
      </c>
      <c r="F107" s="9"/>
    </row>
    <row r="108" spans="1:6">
      <c r="A108" s="18">
        <v>376</v>
      </c>
      <c r="B108" s="8" t="s">
        <v>293</v>
      </c>
      <c r="C108" s="8" t="s">
        <v>304</v>
      </c>
      <c r="D108" s="8"/>
      <c r="E108" s="8" t="s">
        <v>305</v>
      </c>
      <c r="F108" s="8"/>
    </row>
    <row r="109" spans="1:6">
      <c r="A109" s="19">
        <v>378</v>
      </c>
      <c r="B109" s="9" t="s">
        <v>293</v>
      </c>
      <c r="C109" s="9" t="s">
        <v>306</v>
      </c>
      <c r="D109" s="9"/>
      <c r="E109" s="9" t="s">
        <v>307</v>
      </c>
      <c r="F109" s="9"/>
    </row>
    <row r="110" spans="1:6">
      <c r="A110" s="18">
        <v>380</v>
      </c>
      <c r="B110" s="8" t="s">
        <v>293</v>
      </c>
      <c r="C110" s="8" t="s">
        <v>308</v>
      </c>
      <c r="D110" s="8"/>
      <c r="E110" s="8" t="s">
        <v>309</v>
      </c>
      <c r="F110" s="8"/>
    </row>
    <row r="111" spans="1:6">
      <c r="A111" s="19">
        <v>382</v>
      </c>
      <c r="B111" s="9" t="s">
        <v>293</v>
      </c>
      <c r="C111" s="9" t="s">
        <v>310</v>
      </c>
      <c r="D111" s="9"/>
      <c r="E111" s="9" t="s">
        <v>311</v>
      </c>
      <c r="F111" s="9"/>
    </row>
    <row r="112" spans="1:6">
      <c r="A112" s="18">
        <v>384</v>
      </c>
      <c r="B112" s="8" t="s">
        <v>293</v>
      </c>
      <c r="C112" s="8" t="s">
        <v>312</v>
      </c>
      <c r="D112" s="8"/>
      <c r="E112" s="8" t="s">
        <v>313</v>
      </c>
      <c r="F112" s="8"/>
    </row>
    <row r="113" spans="1:6">
      <c r="A113" s="19">
        <v>390</v>
      </c>
      <c r="B113" s="9" t="s">
        <v>314</v>
      </c>
      <c r="C113" s="9" t="s">
        <v>315</v>
      </c>
      <c r="D113" s="9"/>
      <c r="E113" s="9" t="s">
        <v>316</v>
      </c>
      <c r="F113" s="9"/>
    </row>
    <row r="114" spans="1:6" ht="30">
      <c r="A114" s="18">
        <v>393</v>
      </c>
      <c r="B114" s="8" t="s">
        <v>317</v>
      </c>
      <c r="C114" s="8" t="s">
        <v>318</v>
      </c>
      <c r="D114" s="8"/>
      <c r="E114" s="8" t="s">
        <v>319</v>
      </c>
      <c r="F114" s="8"/>
    </row>
    <row r="115" spans="1:6">
      <c r="A115" s="19">
        <v>395</v>
      </c>
      <c r="B115" s="9" t="s">
        <v>317</v>
      </c>
      <c r="C115" s="9" t="s">
        <v>320</v>
      </c>
      <c r="D115" s="9"/>
      <c r="E115" s="9" t="s">
        <v>321</v>
      </c>
      <c r="F115" s="9"/>
    </row>
    <row r="116" spans="1:6" ht="66.75">
      <c r="A116" s="18">
        <v>398</v>
      </c>
      <c r="B116" s="8" t="s">
        <v>317</v>
      </c>
      <c r="C116" s="8" t="s">
        <v>322</v>
      </c>
      <c r="D116" s="8" t="s">
        <v>323</v>
      </c>
      <c r="E116" s="8" t="s">
        <v>324</v>
      </c>
      <c r="F116" s="8"/>
    </row>
    <row r="117" spans="1:6">
      <c r="A117" s="19">
        <v>400</v>
      </c>
      <c r="B117" s="9" t="s">
        <v>317</v>
      </c>
      <c r="C117" s="9" t="s">
        <v>325</v>
      </c>
      <c r="D117" s="9"/>
      <c r="E117" s="9" t="s">
        <v>326</v>
      </c>
      <c r="F117" s="9"/>
    </row>
    <row r="118" spans="1:6" ht="33">
      <c r="A118" s="18">
        <v>403</v>
      </c>
      <c r="B118" s="8" t="s">
        <v>317</v>
      </c>
      <c r="C118" s="8" t="s">
        <v>327</v>
      </c>
      <c r="D118" s="8" t="s">
        <v>328</v>
      </c>
      <c r="E118" s="8" t="s">
        <v>329</v>
      </c>
      <c r="F118" s="8"/>
    </row>
    <row r="119" spans="1:6" ht="16.5">
      <c r="A119" s="19">
        <v>405</v>
      </c>
      <c r="B119" s="9" t="s">
        <v>317</v>
      </c>
      <c r="C119" s="9" t="s">
        <v>330</v>
      </c>
      <c r="D119" s="9" t="s">
        <v>331</v>
      </c>
      <c r="E119" s="9" t="s">
        <v>331</v>
      </c>
      <c r="F119" s="9"/>
    </row>
    <row r="120" spans="1:6" ht="16.5">
      <c r="A120" s="18">
        <v>411</v>
      </c>
      <c r="B120" s="8" t="s">
        <v>317</v>
      </c>
      <c r="C120" s="8" t="s">
        <v>332</v>
      </c>
      <c r="D120" s="8" t="s">
        <v>333</v>
      </c>
      <c r="E120" s="8" t="s">
        <v>333</v>
      </c>
      <c r="F120" s="8"/>
    </row>
    <row r="121" spans="1:6" ht="66.75">
      <c r="A121" s="19">
        <v>414</v>
      </c>
      <c r="B121" s="9" t="s">
        <v>317</v>
      </c>
      <c r="C121" s="9" t="s">
        <v>334</v>
      </c>
      <c r="D121" s="9" t="s">
        <v>335</v>
      </c>
      <c r="E121" s="9" t="s">
        <v>336</v>
      </c>
      <c r="F121" s="9"/>
    </row>
    <row r="122" spans="1:6">
      <c r="A122" s="18">
        <v>416</v>
      </c>
      <c r="B122" s="8" t="s">
        <v>317</v>
      </c>
      <c r="C122" s="8" t="s">
        <v>337</v>
      </c>
      <c r="D122" s="8"/>
      <c r="E122" s="8" t="s">
        <v>338</v>
      </c>
      <c r="F122" s="8"/>
    </row>
    <row r="123" spans="1:6" ht="33">
      <c r="A123" s="19">
        <v>419</v>
      </c>
      <c r="B123" s="9" t="s">
        <v>317</v>
      </c>
      <c r="C123" s="9" t="s">
        <v>339</v>
      </c>
      <c r="D123" s="9" t="s">
        <v>340</v>
      </c>
      <c r="E123" s="9" t="s">
        <v>341</v>
      </c>
      <c r="F123" s="9"/>
    </row>
    <row r="124" spans="1:6">
      <c r="A124" s="18">
        <v>421</v>
      </c>
      <c r="B124" s="8" t="s">
        <v>317</v>
      </c>
      <c r="C124" s="8" t="s">
        <v>342</v>
      </c>
      <c r="D124" s="8"/>
      <c r="E124" s="8" t="s">
        <v>343</v>
      </c>
      <c r="F124" s="8"/>
    </row>
    <row r="125" spans="1:6">
      <c r="A125" s="19">
        <v>426</v>
      </c>
      <c r="B125" s="9" t="s">
        <v>344</v>
      </c>
      <c r="C125" s="9" t="s">
        <v>345</v>
      </c>
      <c r="D125" s="9"/>
      <c r="E125" s="9" t="s">
        <v>346</v>
      </c>
      <c r="F125" s="9"/>
    </row>
    <row r="126" spans="1:6">
      <c r="A126" s="18">
        <v>439</v>
      </c>
      <c r="B126" s="8" t="s">
        <v>347</v>
      </c>
      <c r="C126" s="8" t="s">
        <v>160</v>
      </c>
      <c r="D126" s="8" t="s">
        <v>161</v>
      </c>
      <c r="E126" s="8" t="s">
        <v>161</v>
      </c>
      <c r="F126" s="8"/>
    </row>
    <row r="127" spans="1:6">
      <c r="A127" s="19">
        <v>443</v>
      </c>
      <c r="B127" s="9" t="s">
        <v>347</v>
      </c>
      <c r="C127" s="9" t="s">
        <v>348</v>
      </c>
      <c r="D127" s="9"/>
      <c r="E127" s="9" t="s">
        <v>349</v>
      </c>
      <c r="F127" s="9"/>
    </row>
    <row r="128" spans="1:6">
      <c r="A128" s="18">
        <v>452</v>
      </c>
      <c r="B128" s="8" t="s">
        <v>350</v>
      </c>
      <c r="C128" s="8" t="s">
        <v>351</v>
      </c>
      <c r="D128" s="8" t="s">
        <v>333</v>
      </c>
      <c r="E128" s="8" t="s">
        <v>333</v>
      </c>
      <c r="F128" s="8"/>
    </row>
    <row r="129" spans="1:6">
      <c r="A129" s="19">
        <v>481</v>
      </c>
      <c r="B129" s="9" t="s">
        <v>352</v>
      </c>
      <c r="C129" s="9" t="s">
        <v>79</v>
      </c>
      <c r="D129" s="9" t="s">
        <v>80</v>
      </c>
      <c r="E129" s="9" t="s">
        <v>80</v>
      </c>
      <c r="F129" s="9"/>
    </row>
    <row r="130" spans="1:6" ht="16.5">
      <c r="A130" s="18">
        <v>482</v>
      </c>
      <c r="B130" s="8" t="s">
        <v>352</v>
      </c>
      <c r="C130" s="8" t="s">
        <v>157</v>
      </c>
      <c r="D130" s="8" t="s">
        <v>353</v>
      </c>
      <c r="E130" s="8" t="s">
        <v>159</v>
      </c>
      <c r="F130" s="8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A1:F34"/>
  <sheetViews>
    <sheetView workbookViewId="0">
      <selection activeCell="D34" sqref="D34"/>
    </sheetView>
  </sheetViews>
  <sheetFormatPr defaultRowHeight="15"/>
  <cols>
    <col min="1" max="1" width="26.7109375" bestFit="1" customWidth="1"/>
    <col min="2" max="2" width="47.140625" bestFit="1" customWidth="1"/>
    <col min="3" max="3" width="45" customWidth="1"/>
    <col min="4" max="4" width="20" customWidth="1"/>
    <col min="5" max="5" width="45" customWidth="1"/>
    <col min="6" max="6" width="20" customWidth="1"/>
  </cols>
  <sheetData>
    <row r="1" spans="1:6">
      <c r="A1" s="26" t="s">
        <v>1</v>
      </c>
      <c r="B1" s="27" t="s">
        <v>42</v>
      </c>
    </row>
    <row r="2" spans="1:6">
      <c r="A2" s="24" t="s">
        <v>43</v>
      </c>
      <c r="B2" s="25" t="s">
        <v>13</v>
      </c>
    </row>
    <row r="3" spans="1:6">
      <c r="A3" s="24" t="s">
        <v>44</v>
      </c>
      <c r="B3" s="25" t="s">
        <v>354</v>
      </c>
    </row>
    <row r="4" spans="1:6">
      <c r="A4" s="24" t="s">
        <v>46</v>
      </c>
      <c r="B4" s="25" t="s">
        <v>355</v>
      </c>
    </row>
    <row r="5" spans="1:6">
      <c r="A5" s="24" t="s">
        <v>49</v>
      </c>
      <c r="B5" s="25" t="s">
        <v>50</v>
      </c>
    </row>
    <row r="6" spans="1:6">
      <c r="A6" s="24" t="s">
        <v>7</v>
      </c>
      <c r="B6" s="25" t="s">
        <v>8</v>
      </c>
    </row>
    <row r="7" spans="1:6">
      <c r="A7" s="24" t="s">
        <v>51</v>
      </c>
      <c r="B7" s="44">
        <v>46064</v>
      </c>
    </row>
    <row r="8" spans="1:6">
      <c r="A8" s="24" t="s">
        <v>52</v>
      </c>
      <c r="B8" s="32" t="s">
        <v>53</v>
      </c>
    </row>
    <row r="9" spans="1:6">
      <c r="A9" s="24" t="s">
        <v>54</v>
      </c>
      <c r="B9" s="42" t="s">
        <v>55</v>
      </c>
    </row>
    <row r="10" spans="1:6">
      <c r="A10" s="28" t="s">
        <v>56</v>
      </c>
      <c r="B10" s="29" t="s">
        <v>4</v>
      </c>
    </row>
    <row r="11" spans="1:6">
      <c r="A11" s="39" t="s">
        <v>356</v>
      </c>
      <c r="B11" s="40"/>
    </row>
    <row r="13" spans="1:6" ht="18.75">
      <c r="A13" s="3" t="s">
        <v>57</v>
      </c>
    </row>
    <row r="15" spans="1:6">
      <c r="A15" s="7" t="s">
        <v>58</v>
      </c>
      <c r="B15" s="7" t="s">
        <v>59</v>
      </c>
      <c r="C15" s="7" t="s">
        <v>60</v>
      </c>
      <c r="D15" s="7" t="s">
        <v>61</v>
      </c>
      <c r="E15" s="7" t="s">
        <v>62</v>
      </c>
      <c r="F15" s="7" t="s">
        <v>63</v>
      </c>
    </row>
    <row r="16" spans="1:6" ht="16.5">
      <c r="A16" s="8">
        <v>287</v>
      </c>
      <c r="B16" s="8" t="s">
        <v>64</v>
      </c>
      <c r="C16" s="8" t="s">
        <v>65</v>
      </c>
      <c r="D16" s="8"/>
      <c r="E16" s="8" t="s">
        <v>65</v>
      </c>
      <c r="F16" s="8"/>
    </row>
    <row r="17" spans="1:6" ht="16.5">
      <c r="A17" s="9">
        <v>288</v>
      </c>
      <c r="B17" s="9" t="s">
        <v>64</v>
      </c>
      <c r="C17" s="9" t="s">
        <v>66</v>
      </c>
      <c r="D17" s="8"/>
      <c r="E17" s="9" t="s">
        <v>66</v>
      </c>
      <c r="F17" s="8"/>
    </row>
    <row r="18" spans="1:6" ht="16.5">
      <c r="A18" s="8">
        <v>292</v>
      </c>
      <c r="B18" s="8" t="s">
        <v>357</v>
      </c>
      <c r="C18" s="8" t="s">
        <v>358</v>
      </c>
      <c r="D18" s="8" t="str">
        <f>IFERROR(_xlfn.XLOOKUP(C18,index.html!C:C,index.html!D:D)," ")</f>
        <v xml:space="preserve"> </v>
      </c>
      <c r="E18" s="8" t="s">
        <v>358</v>
      </c>
      <c r="F18" s="8"/>
    </row>
    <row r="19" spans="1:6" ht="16.5">
      <c r="A19" s="9">
        <v>293</v>
      </c>
      <c r="B19" s="9" t="s">
        <v>357</v>
      </c>
      <c r="C19" s="9" t="s">
        <v>359</v>
      </c>
      <c r="D19" s="8" t="str">
        <f>IFERROR(_xlfn.XLOOKUP(C19,index.html!C:C,index.html!D:D)," ")</f>
        <v xml:space="preserve"> </v>
      </c>
      <c r="E19" s="9" t="s">
        <v>359</v>
      </c>
      <c r="F19" s="8"/>
    </row>
    <row r="20" spans="1:6" ht="16.5">
      <c r="A20" s="8">
        <v>310</v>
      </c>
      <c r="B20" s="8" t="s">
        <v>67</v>
      </c>
      <c r="C20" s="8" t="s">
        <v>71</v>
      </c>
      <c r="D20" s="8" t="str">
        <f>IFERROR(_xlfn.XLOOKUP(C20,index.html!C:C,index.html!D:D)," ")</f>
        <v>薪资福利</v>
      </c>
      <c r="E20" s="8" t="s">
        <v>72</v>
      </c>
      <c r="F20" s="8"/>
    </row>
    <row r="21" spans="1:6" ht="16.5">
      <c r="A21" s="9">
        <v>311</v>
      </c>
      <c r="B21" s="9" t="s">
        <v>67</v>
      </c>
      <c r="C21" s="9" t="s">
        <v>160</v>
      </c>
      <c r="D21" s="8" t="str">
        <f>IFERROR(_xlfn.XLOOKUP(C21,index.html!C:C,index.html!D:D)," ")</f>
        <v>招聘流程</v>
      </c>
      <c r="E21" s="9" t="s">
        <v>161</v>
      </c>
      <c r="F21" s="8"/>
    </row>
    <row r="22" spans="1:6" ht="33">
      <c r="A22" s="8">
        <v>312</v>
      </c>
      <c r="B22" s="8" t="s">
        <v>67</v>
      </c>
      <c r="C22" s="8" t="s">
        <v>73</v>
      </c>
      <c r="D22" s="8" t="str">
        <f>IFERROR(_xlfn.XLOOKUP(C22,index.html!C:C,index.html!D:D)," ")</f>
        <v>为什么选择马来西亚和泰国</v>
      </c>
      <c r="E22" s="8" t="s">
        <v>74</v>
      </c>
      <c r="F22" s="8"/>
    </row>
    <row r="23" spans="1:6" ht="16.5">
      <c r="A23" s="9">
        <v>313</v>
      </c>
      <c r="B23" s="9" t="s">
        <v>67</v>
      </c>
      <c r="C23" s="9" t="s">
        <v>75</v>
      </c>
      <c r="D23" s="8" t="str">
        <f>IFERROR(_xlfn.XLOOKUP(C23,index.html!C:C,index.html!D:D)," ")</f>
        <v>签证与搬迁安排</v>
      </c>
      <c r="E23" s="9" t="s">
        <v>77</v>
      </c>
      <c r="F23" s="8" t="str">
        <f>IFERROR(_xlfn.XLOOKUP(E23,index.html!E:E,index.html!F:F)," ")</f>
        <v>签证与搬迁支持</v>
      </c>
    </row>
    <row r="24" spans="1:6" ht="16.5">
      <c r="A24" s="8">
        <v>314</v>
      </c>
      <c r="B24" s="8" t="s">
        <v>67</v>
      </c>
      <c r="C24" s="8" t="s">
        <v>79</v>
      </c>
      <c r="D24" s="8" t="str">
        <f>IFERROR(_xlfn.XLOOKUP(C24,index.html!C:C,index.html!D:D)," ")</f>
        <v>立即申请</v>
      </c>
      <c r="E24" s="8" t="s">
        <v>80</v>
      </c>
      <c r="F24" s="8"/>
    </row>
    <row r="25" spans="1:6" ht="50.25">
      <c r="A25" s="9">
        <v>333</v>
      </c>
      <c r="B25" s="9" t="s">
        <v>360</v>
      </c>
      <c r="C25" s="9" t="s">
        <v>361</v>
      </c>
      <c r="D25" s="41" t="s">
        <v>362</v>
      </c>
      <c r="E25" s="9" t="s">
        <v>363</v>
      </c>
      <c r="F25" s="9" t="s">
        <v>364</v>
      </c>
    </row>
    <row r="26" spans="1:6" ht="33">
      <c r="A26" s="8">
        <v>342</v>
      </c>
      <c r="B26" s="8" t="s">
        <v>117</v>
      </c>
      <c r="C26" s="8" t="s">
        <v>118</v>
      </c>
      <c r="D26" s="8"/>
      <c r="E26" s="8" t="s">
        <v>119</v>
      </c>
      <c r="F26" s="8"/>
    </row>
    <row r="27" spans="1:6" ht="33">
      <c r="A27" s="9">
        <v>345</v>
      </c>
      <c r="B27" s="9" t="s">
        <v>117</v>
      </c>
      <c r="C27" s="9" t="s">
        <v>120</v>
      </c>
      <c r="D27" s="8" t="str">
        <f>IFERROR(_xlfn.XLOOKUP(C27,index.html!C:C,index.html!D:D)," ")</f>
        <v>为国际知名品牌提供客户体验服务</v>
      </c>
      <c r="E27" s="9" t="s">
        <v>122</v>
      </c>
      <c r="F27" s="8"/>
    </row>
    <row r="28" spans="1:6" ht="49.5">
      <c r="A28" s="8">
        <v>348</v>
      </c>
      <c r="B28" s="8" t="s">
        <v>117</v>
      </c>
      <c r="C28" s="8" t="s">
        <v>123</v>
      </c>
      <c r="D28" s="8" t="str">
        <f>IFERROR(_xlfn.XLOOKUP(C28,index.html!C:C,index.html!D:D)," ")</f>
        <v>无论你是Fresh Graduate还是有工作经验</v>
      </c>
      <c r="E28" s="8" t="s">
        <v>125</v>
      </c>
      <c r="F28" s="8"/>
    </row>
    <row r="29" spans="1:6" ht="33">
      <c r="A29" s="9">
        <v>361</v>
      </c>
      <c r="B29" s="9" t="s">
        <v>365</v>
      </c>
      <c r="C29" s="9" t="s">
        <v>127</v>
      </c>
      <c r="D29" s="8"/>
      <c r="E29" s="9" t="s">
        <v>128</v>
      </c>
      <c r="F29" s="8"/>
    </row>
    <row r="30" spans="1:6" ht="16.5">
      <c r="A30" s="8">
        <v>376</v>
      </c>
      <c r="B30" s="8" t="s">
        <v>133</v>
      </c>
      <c r="C30" s="8" t="s">
        <v>134</v>
      </c>
      <c r="D30" s="8" t="str">
        <f>IFERROR(_xlfn.XLOOKUP(C30,index.html!C:C,index.html!D:D)," ")</f>
        <v>全球员工人数</v>
      </c>
      <c r="E30" s="8" t="s">
        <v>135</v>
      </c>
      <c r="F30" s="8"/>
    </row>
    <row r="31" spans="1:6" ht="16.5">
      <c r="A31" s="9">
        <v>391</v>
      </c>
      <c r="B31" s="9" t="s">
        <v>366</v>
      </c>
      <c r="C31" s="9" t="s">
        <v>103</v>
      </c>
      <c r="D31" s="8" t="str">
        <f>IFERROR(_xlfn.XLOOKUP(C31,index.html!C:C,index.html!D:D)," ")</f>
        <v>马来西亚/泰国员工</v>
      </c>
      <c r="E31" s="9" t="s">
        <v>104</v>
      </c>
      <c r="F31" s="8"/>
    </row>
    <row r="32" spans="1:6" ht="16.5">
      <c r="A32" s="8">
        <v>430</v>
      </c>
      <c r="B32" s="8" t="s">
        <v>367</v>
      </c>
      <c r="C32" s="8" t="s">
        <v>68</v>
      </c>
      <c r="D32" s="8" t="str">
        <f>IFERROR(_xlfn.XLOOKUP(C32,index.html!C:C,index.html!D:D)," ")</f>
        <v>在招职位</v>
      </c>
      <c r="E32" s="8" t="s">
        <v>70</v>
      </c>
      <c r="F32" s="8"/>
    </row>
    <row r="33" spans="1:6" ht="16.5">
      <c r="A33" s="9">
        <v>449</v>
      </c>
      <c r="B33" s="9" t="s">
        <v>352</v>
      </c>
      <c r="C33" s="9" t="s">
        <v>79</v>
      </c>
      <c r="D33" s="8" t="str">
        <f>IFERROR(_xlfn.XLOOKUP(C33,index.html!C:C,index.html!D:D)," ")</f>
        <v>立即申请</v>
      </c>
      <c r="E33" s="9" t="s">
        <v>80</v>
      </c>
      <c r="F33" s="8"/>
    </row>
    <row r="34" spans="1:6" ht="16.5">
      <c r="A34" s="8">
        <v>449</v>
      </c>
      <c r="B34" s="8" t="s">
        <v>352</v>
      </c>
      <c r="C34" s="8" t="s">
        <v>159</v>
      </c>
      <c r="D34" s="8" t="s">
        <v>353</v>
      </c>
      <c r="E34" s="8" t="s">
        <v>159</v>
      </c>
      <c r="F34" s="8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</sheetPr>
  <dimension ref="A1:F42"/>
  <sheetViews>
    <sheetView topLeftCell="B34" workbookViewId="0">
      <selection activeCell="B7" sqref="B7:B9"/>
    </sheetView>
  </sheetViews>
  <sheetFormatPr defaultRowHeight="15"/>
  <cols>
    <col min="1" max="1" width="10" customWidth="1"/>
    <col min="2" max="2" width="18" customWidth="1"/>
    <col min="3" max="3" width="45" customWidth="1"/>
    <col min="4" max="4" width="20" customWidth="1"/>
    <col min="5" max="5" width="45" customWidth="1"/>
    <col min="6" max="6" width="20" customWidth="1"/>
  </cols>
  <sheetData>
    <row r="1" spans="1:6">
      <c r="A1" s="4" t="s">
        <v>1</v>
      </c>
      <c r="B1" s="5" t="s">
        <v>42</v>
      </c>
    </row>
    <row r="2" spans="1:6">
      <c r="A2" s="4" t="s">
        <v>43</v>
      </c>
      <c r="B2" s="6" t="s">
        <v>16</v>
      </c>
    </row>
    <row r="3" spans="1:6">
      <c r="A3" s="4" t="s">
        <v>44</v>
      </c>
      <c r="B3" s="6" t="s">
        <v>368</v>
      </c>
    </row>
    <row r="4" spans="1:6">
      <c r="A4" s="4" t="s">
        <v>46</v>
      </c>
      <c r="B4" s="6" t="s">
        <v>369</v>
      </c>
    </row>
    <row r="5" spans="1:6">
      <c r="A5" s="4" t="s">
        <v>49</v>
      </c>
      <c r="B5" s="6" t="s">
        <v>50</v>
      </c>
    </row>
    <row r="6" spans="1:6">
      <c r="A6" s="4" t="s">
        <v>7</v>
      </c>
      <c r="B6" s="6" t="s">
        <v>8</v>
      </c>
    </row>
    <row r="7" spans="1:6">
      <c r="A7" s="4" t="s">
        <v>51</v>
      </c>
      <c r="B7" s="44">
        <v>46064</v>
      </c>
    </row>
    <row r="8" spans="1:6">
      <c r="A8" s="4" t="s">
        <v>52</v>
      </c>
      <c r="B8" s="32" t="s">
        <v>53</v>
      </c>
    </row>
    <row r="9" spans="1:6">
      <c r="A9" s="4" t="s">
        <v>54</v>
      </c>
      <c r="B9" s="43" t="s">
        <v>55</v>
      </c>
    </row>
    <row r="10" spans="1:6">
      <c r="A10" s="4" t="s">
        <v>56</v>
      </c>
      <c r="B10" s="6" t="s">
        <v>4</v>
      </c>
    </row>
    <row r="13" spans="1:6" ht="18.75">
      <c r="A13" s="3" t="s">
        <v>57</v>
      </c>
    </row>
    <row r="15" spans="1:6">
      <c r="A15" s="7" t="s">
        <v>58</v>
      </c>
      <c r="B15" s="7" t="s">
        <v>59</v>
      </c>
      <c r="C15" s="7" t="s">
        <v>60</v>
      </c>
      <c r="D15" s="7" t="s">
        <v>61</v>
      </c>
      <c r="E15" s="7" t="s">
        <v>62</v>
      </c>
      <c r="F15" s="7" t="s">
        <v>63</v>
      </c>
    </row>
    <row r="16" spans="1:6" ht="16.5">
      <c r="A16" s="8">
        <v>287</v>
      </c>
      <c r="B16" s="8" t="s">
        <v>64</v>
      </c>
      <c r="C16" s="8" t="s">
        <v>65</v>
      </c>
      <c r="D16" s="8"/>
      <c r="E16" s="8" t="s">
        <v>65</v>
      </c>
      <c r="F16" s="8"/>
    </row>
    <row r="17" spans="1:6" ht="16.5">
      <c r="A17" s="9">
        <v>288</v>
      </c>
      <c r="B17" s="9" t="s">
        <v>64</v>
      </c>
      <c r="C17" s="9" t="s">
        <v>66</v>
      </c>
      <c r="D17" s="8"/>
      <c r="E17" s="9" t="s">
        <v>66</v>
      </c>
      <c r="F17" s="8"/>
    </row>
    <row r="18" spans="1:6" ht="33">
      <c r="A18" s="8">
        <v>333</v>
      </c>
      <c r="B18" s="8" t="s">
        <v>360</v>
      </c>
      <c r="C18" s="8" t="s">
        <v>370</v>
      </c>
      <c r="D18" s="8" t="str">
        <f>IFERROR(_xlfn.XLOOKUP(C18,index.html!C:C,index.html!D:D)," ")</f>
        <v xml:space="preserve"> </v>
      </c>
      <c r="E18" s="8" t="s">
        <v>371</v>
      </c>
      <c r="F18" s="8" t="str">
        <f>IFERROR(_xlfn.XLOOKUP(E18,index.html!E:E,index.html!F:F)," ")</f>
        <v xml:space="preserve"> </v>
      </c>
    </row>
    <row r="19" spans="1:6" ht="16.5">
      <c r="A19" s="9">
        <v>340</v>
      </c>
      <c r="B19" s="9" t="s">
        <v>372</v>
      </c>
      <c r="C19" s="9" t="s">
        <v>154</v>
      </c>
      <c r="D19" s="8" t="str">
        <f>IFERROR(_xlfn.XLOOKUP(C19,index.html!C:C,index.html!D:D)," ")</f>
        <v xml:space="preserve"> </v>
      </c>
      <c r="E19" s="9" t="s">
        <v>154</v>
      </c>
      <c r="F19" s="8" t="str">
        <f>IFERROR(_xlfn.XLOOKUP(E19,index.html!E:E,index.html!F:F)," ")</f>
        <v xml:space="preserve"> </v>
      </c>
    </row>
    <row r="20" spans="1:6" ht="66.75">
      <c r="A20" s="8">
        <v>348</v>
      </c>
      <c r="B20" s="8" t="s">
        <v>373</v>
      </c>
      <c r="C20" s="8" t="s">
        <v>374</v>
      </c>
      <c r="D20" s="8" t="s">
        <v>375</v>
      </c>
      <c r="E20" s="8" t="s">
        <v>376</v>
      </c>
      <c r="F20" s="8" t="str">
        <f>IFERROR(_xlfn.XLOOKUP(E20,index.html!E:E,index.html!F:F)," ")</f>
        <v xml:space="preserve"> </v>
      </c>
    </row>
    <row r="21" spans="1:6" ht="16.5">
      <c r="A21" s="9">
        <v>364</v>
      </c>
      <c r="B21" s="9" t="s">
        <v>377</v>
      </c>
      <c r="C21" s="9" t="s">
        <v>378</v>
      </c>
      <c r="D21" s="8" t="str">
        <f>IFERROR(_xlfn.XLOOKUP(C21,index.html!C:C,index.html!D:D)," ")</f>
        <v xml:space="preserve"> </v>
      </c>
      <c r="E21" s="9" t="s">
        <v>378</v>
      </c>
      <c r="F21" s="8" t="str">
        <f>IFERROR(_xlfn.XLOOKUP(E21,index.html!E:E,index.html!F:F)," ")</f>
        <v xml:space="preserve"> </v>
      </c>
    </row>
    <row r="22" spans="1:6" ht="83.25">
      <c r="A22" s="8">
        <v>365</v>
      </c>
      <c r="B22" s="8" t="s">
        <v>377</v>
      </c>
      <c r="C22" s="8" t="s">
        <v>379</v>
      </c>
      <c r="D22" s="8" t="s">
        <v>380</v>
      </c>
      <c r="E22" s="8" t="s">
        <v>381</v>
      </c>
      <c r="F22" s="8" t="str">
        <f>IFERROR(_xlfn.XLOOKUP(E22,index.html!E:E,index.html!F:F)," ")</f>
        <v xml:space="preserve"> </v>
      </c>
    </row>
    <row r="23" spans="1:6" ht="16.5">
      <c r="A23" s="9">
        <v>369</v>
      </c>
      <c r="B23" s="9" t="s">
        <v>377</v>
      </c>
      <c r="C23" s="9" t="s">
        <v>382</v>
      </c>
      <c r="D23" s="8" t="str">
        <f>IFERROR(_xlfn.XLOOKUP(C23,index.html!C:C,index.html!D:D)," ")</f>
        <v xml:space="preserve"> </v>
      </c>
      <c r="E23" s="9" t="s">
        <v>382</v>
      </c>
      <c r="F23" s="8" t="str">
        <f>IFERROR(_xlfn.XLOOKUP(E23,index.html!E:E,index.html!F:F)," ")</f>
        <v xml:space="preserve"> </v>
      </c>
    </row>
    <row r="24" spans="1:6" ht="33">
      <c r="A24" s="8">
        <v>370</v>
      </c>
      <c r="B24" s="8" t="s">
        <v>377</v>
      </c>
      <c r="C24" s="8" t="s">
        <v>383</v>
      </c>
      <c r="D24" s="8" t="str">
        <f>IFERROR(_xlfn.XLOOKUP(C24,index.html!C:C,index.html!D:D)," ")</f>
        <v xml:space="preserve"> </v>
      </c>
      <c r="E24" s="8" t="s">
        <v>384</v>
      </c>
      <c r="F24" s="8" t="str">
        <f>IFERROR(_xlfn.XLOOKUP(E24,index.html!E:E,index.html!F:F)," ")</f>
        <v xml:space="preserve"> </v>
      </c>
    </row>
    <row r="25" spans="1:6" ht="16.5">
      <c r="A25" s="9">
        <v>374</v>
      </c>
      <c r="B25" s="9" t="s">
        <v>377</v>
      </c>
      <c r="C25" s="9" t="s">
        <v>385</v>
      </c>
      <c r="D25" s="8" t="str">
        <f>IFERROR(_xlfn.XLOOKUP(C25,index.html!C:C,index.html!D:D)," ")</f>
        <v xml:space="preserve"> </v>
      </c>
      <c r="E25" s="9" t="s">
        <v>385</v>
      </c>
      <c r="F25" s="8" t="str">
        <f>IFERROR(_xlfn.XLOOKUP(E25,index.html!E:E,index.html!F:F)," ")</f>
        <v xml:space="preserve"> </v>
      </c>
    </row>
    <row r="26" spans="1:6" ht="33">
      <c r="A26" s="8">
        <v>375</v>
      </c>
      <c r="B26" s="8" t="s">
        <v>377</v>
      </c>
      <c r="C26" s="8" t="s">
        <v>386</v>
      </c>
      <c r="D26" s="8" t="str">
        <f>IFERROR(_xlfn.XLOOKUP(C26,index.html!C:C,index.html!D:D)," ")</f>
        <v xml:space="preserve"> </v>
      </c>
      <c r="E26" s="8" t="s">
        <v>387</v>
      </c>
      <c r="F26" s="8" t="str">
        <f>IFERROR(_xlfn.XLOOKUP(E26,index.html!E:E,index.html!F:F)," ")</f>
        <v xml:space="preserve"> </v>
      </c>
    </row>
    <row r="27" spans="1:6" ht="33">
      <c r="A27" s="9">
        <v>385</v>
      </c>
      <c r="B27" s="9" t="s">
        <v>388</v>
      </c>
      <c r="C27" s="9" t="s">
        <v>389</v>
      </c>
      <c r="D27" s="8" t="str">
        <f>IFERROR(_xlfn.XLOOKUP(C27,index.html!C:C,index.html!D:D)," ")</f>
        <v xml:space="preserve"> </v>
      </c>
      <c r="E27" s="9" t="s">
        <v>390</v>
      </c>
      <c r="F27" s="8" t="str">
        <f>IFERROR(_xlfn.XLOOKUP(E27,index.html!E:E,index.html!F:F)," ")</f>
        <v xml:space="preserve"> </v>
      </c>
    </row>
    <row r="28" spans="1:6" ht="50.25">
      <c r="A28" s="8">
        <v>404</v>
      </c>
      <c r="B28" s="8" t="s">
        <v>391</v>
      </c>
      <c r="C28" s="8" t="s">
        <v>392</v>
      </c>
      <c r="D28" s="8" t="s">
        <v>393</v>
      </c>
      <c r="E28" s="8" t="s">
        <v>394</v>
      </c>
      <c r="F28" s="8" t="str">
        <f>IFERROR(_xlfn.XLOOKUP(E28,index.html!E:E,index.html!F:F)," ")</f>
        <v xml:space="preserve"> </v>
      </c>
    </row>
    <row r="29" spans="1:6" ht="83.25">
      <c r="A29" s="9">
        <v>409</v>
      </c>
      <c r="B29" s="9" t="s">
        <v>391</v>
      </c>
      <c r="C29" s="9" t="s">
        <v>395</v>
      </c>
      <c r="D29" s="9" t="s">
        <v>396</v>
      </c>
      <c r="E29" s="9" t="s">
        <v>397</v>
      </c>
      <c r="F29" s="8" t="str">
        <f>IFERROR(_xlfn.XLOOKUP(E29,index.html!E:E,index.html!F:F)," ")</f>
        <v xml:space="preserve"> </v>
      </c>
    </row>
    <row r="30" spans="1:6" ht="66.75">
      <c r="A30" s="8">
        <v>414</v>
      </c>
      <c r="B30" s="8" t="s">
        <v>391</v>
      </c>
      <c r="C30" s="8" t="s">
        <v>398</v>
      </c>
      <c r="D30" s="8" t="s">
        <v>399</v>
      </c>
      <c r="E30" s="8" t="s">
        <v>400</v>
      </c>
      <c r="F30" s="8" t="str">
        <f>IFERROR(_xlfn.XLOOKUP(E30,index.html!E:E,index.html!F:F)," ")</f>
        <v xml:space="preserve"> </v>
      </c>
    </row>
    <row r="31" spans="1:6" ht="50.25">
      <c r="A31" s="9">
        <v>424</v>
      </c>
      <c r="B31" s="9" t="s">
        <v>401</v>
      </c>
      <c r="C31" s="9" t="s">
        <v>402</v>
      </c>
      <c r="D31" s="8" t="s">
        <v>403</v>
      </c>
      <c r="E31" s="9" t="s">
        <v>404</v>
      </c>
      <c r="F31" s="8" t="str">
        <f>IFERROR(_xlfn.XLOOKUP(E31,index.html!E:E,index.html!F:F)," ")</f>
        <v xml:space="preserve"> </v>
      </c>
    </row>
    <row r="32" spans="1:6" ht="50.25">
      <c r="A32" s="8">
        <v>443</v>
      </c>
      <c r="B32" s="8" t="s">
        <v>405</v>
      </c>
      <c r="C32" s="8" t="s">
        <v>406</v>
      </c>
      <c r="D32" s="8" t="s">
        <v>407</v>
      </c>
      <c r="E32" s="8" t="s">
        <v>408</v>
      </c>
      <c r="F32" s="8" t="str">
        <f>IFERROR(_xlfn.XLOOKUP(E32,index.html!E:E,index.html!F:F)," ")</f>
        <v xml:space="preserve"> </v>
      </c>
    </row>
    <row r="33" spans="1:6" ht="16.5">
      <c r="A33" s="9">
        <v>447</v>
      </c>
      <c r="B33" s="9" t="s">
        <v>405</v>
      </c>
      <c r="C33" s="9" t="s">
        <v>409</v>
      </c>
      <c r="D33" s="8" t="s">
        <v>410</v>
      </c>
      <c r="E33" s="9" t="s">
        <v>409</v>
      </c>
      <c r="F33" s="8" t="s">
        <v>410</v>
      </c>
    </row>
    <row r="34" spans="1:6" ht="66.75">
      <c r="A34" s="8">
        <v>448</v>
      </c>
      <c r="B34" s="8" t="s">
        <v>405</v>
      </c>
      <c r="C34" s="8" t="s">
        <v>411</v>
      </c>
      <c r="D34" s="8" t="s">
        <v>412</v>
      </c>
      <c r="E34" s="8" t="s">
        <v>413</v>
      </c>
      <c r="F34" s="8" t="s">
        <v>412</v>
      </c>
    </row>
    <row r="35" spans="1:6" ht="33">
      <c r="A35" s="9">
        <v>453</v>
      </c>
      <c r="B35" s="9" t="s">
        <v>405</v>
      </c>
      <c r="C35" s="9" t="s">
        <v>414</v>
      </c>
      <c r="D35" s="8" t="str">
        <f>IFERROR(_xlfn.XLOOKUP(C35,index.html!C:C,index.html!D:D)," ")</f>
        <v xml:space="preserve"> </v>
      </c>
      <c r="E35" s="9" t="s">
        <v>415</v>
      </c>
      <c r="F35" s="8" t="str">
        <f>IFERROR(_xlfn.XLOOKUP(E35,index.html!E:E,index.html!F:F)," ")</f>
        <v xml:space="preserve"> </v>
      </c>
    </row>
    <row r="36" spans="1:6" ht="33">
      <c r="A36" s="8">
        <v>462</v>
      </c>
      <c r="B36" s="8" t="s">
        <v>416</v>
      </c>
      <c r="C36" s="8" t="s">
        <v>417</v>
      </c>
      <c r="D36" s="8" t="str">
        <f>IFERROR(_xlfn.XLOOKUP(C36,index.html!C:C,index.html!D:D)," ")</f>
        <v xml:space="preserve"> </v>
      </c>
      <c r="E36" s="8" t="s">
        <v>418</v>
      </c>
      <c r="F36" s="8" t="str">
        <f>IFERROR(_xlfn.XLOOKUP(E36,index.html!E:E,index.html!F:F)," ")</f>
        <v xml:space="preserve"> </v>
      </c>
    </row>
    <row r="37" spans="1:6" ht="33">
      <c r="A37" s="9">
        <v>470</v>
      </c>
      <c r="B37" s="9" t="s">
        <v>416</v>
      </c>
      <c r="C37" s="9" t="s">
        <v>419</v>
      </c>
      <c r="D37" s="8" t="str">
        <f>IFERROR(_xlfn.XLOOKUP(C37,index.html!C:C,index.html!D:D)," ")</f>
        <v xml:space="preserve"> </v>
      </c>
      <c r="E37" s="9" t="s">
        <v>420</v>
      </c>
      <c r="F37" s="8" t="str">
        <f>IFERROR(_xlfn.XLOOKUP(E37,index.html!E:E,index.html!F:F)," ")</f>
        <v xml:space="preserve"> </v>
      </c>
    </row>
    <row r="38" spans="1:6" ht="33">
      <c r="A38" s="8">
        <v>478</v>
      </c>
      <c r="B38" s="8" t="s">
        <v>416</v>
      </c>
      <c r="C38" s="8" t="s">
        <v>421</v>
      </c>
      <c r="D38" s="8" t="str">
        <f>IFERROR(_xlfn.XLOOKUP(C38,index.html!C:C,index.html!D:D)," ")</f>
        <v xml:space="preserve"> </v>
      </c>
      <c r="E38" s="8" t="s">
        <v>422</v>
      </c>
      <c r="F38" s="8" t="str">
        <f>IFERROR(_xlfn.XLOOKUP(E38,index.html!E:E,index.html!F:F)," ")</f>
        <v xml:space="preserve"> </v>
      </c>
    </row>
    <row r="39" spans="1:6" ht="33">
      <c r="A39" s="9">
        <v>499</v>
      </c>
      <c r="B39" s="9" t="s">
        <v>423</v>
      </c>
      <c r="C39" s="9" t="s">
        <v>424</v>
      </c>
      <c r="D39" s="8" t="str">
        <f>IFERROR(_xlfn.XLOOKUP(C39,index.html!C:C,index.html!D:D)," ")</f>
        <v xml:space="preserve"> </v>
      </c>
      <c r="E39" s="9" t="s">
        <v>425</v>
      </c>
      <c r="F39" s="8" t="str">
        <f>IFERROR(_xlfn.XLOOKUP(E39,index.html!E:E,index.html!F:F)," ")</f>
        <v xml:space="preserve"> </v>
      </c>
    </row>
    <row r="40" spans="1:6" ht="16.5">
      <c r="A40" s="8">
        <v>506</v>
      </c>
      <c r="B40" s="8" t="s">
        <v>426</v>
      </c>
      <c r="C40" s="8" t="s">
        <v>427</v>
      </c>
      <c r="D40" s="8" t="str">
        <f>IFERROR(_xlfn.XLOOKUP(C40,index.html!C:C,index.html!D:D)," ")</f>
        <v xml:space="preserve"> </v>
      </c>
      <c r="E40" s="8" t="s">
        <v>428</v>
      </c>
      <c r="F40" s="8" t="str">
        <f>IFERROR(_xlfn.XLOOKUP(E40,index.html!E:E,index.html!F:F)," ")</f>
        <v xml:space="preserve"> </v>
      </c>
    </row>
    <row r="41" spans="1:6" ht="50.25">
      <c r="A41" s="9">
        <v>511</v>
      </c>
      <c r="B41" s="9" t="s">
        <v>426</v>
      </c>
      <c r="C41" s="9" t="s">
        <v>429</v>
      </c>
      <c r="D41" s="8" t="s">
        <v>430</v>
      </c>
      <c r="E41" s="9" t="s">
        <v>431</v>
      </c>
      <c r="F41" s="8" t="s">
        <v>430</v>
      </c>
    </row>
    <row r="42" spans="1:6" ht="33">
      <c r="A42" s="8">
        <v>516</v>
      </c>
      <c r="B42" s="8" t="s">
        <v>426</v>
      </c>
      <c r="C42" s="8" t="s">
        <v>432</v>
      </c>
      <c r="D42" s="8" t="str">
        <f>IFERROR(_xlfn.XLOOKUP(C42,index.html!C:C,index.html!D:D)," ")</f>
        <v xml:space="preserve"> </v>
      </c>
      <c r="E42" s="8" t="s">
        <v>433</v>
      </c>
      <c r="F42" s="8" t="str">
        <f>IFERROR(_xlfn.XLOOKUP(E42,index.html!E:E,index.html!F:F)," ")</f>
        <v xml:space="preserve"> 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</sheetPr>
  <dimension ref="A1:F77"/>
  <sheetViews>
    <sheetView topLeftCell="A31" workbookViewId="0">
      <selection activeCell="D78" sqref="D78"/>
    </sheetView>
  </sheetViews>
  <sheetFormatPr defaultRowHeight="15"/>
  <cols>
    <col min="1" max="1" width="10" customWidth="1"/>
    <col min="2" max="2" width="18" customWidth="1"/>
    <col min="3" max="3" width="45" customWidth="1"/>
    <col min="4" max="4" width="20" customWidth="1"/>
    <col min="5" max="5" width="45" customWidth="1"/>
    <col min="6" max="6" width="20" customWidth="1"/>
  </cols>
  <sheetData>
    <row r="1" spans="1:6">
      <c r="A1" s="4" t="s">
        <v>1</v>
      </c>
      <c r="B1" s="5" t="s">
        <v>42</v>
      </c>
    </row>
    <row r="2" spans="1:6">
      <c r="A2" s="4" t="s">
        <v>43</v>
      </c>
      <c r="B2" s="6" t="s">
        <v>18</v>
      </c>
    </row>
    <row r="3" spans="1:6">
      <c r="A3" s="4" t="s">
        <v>44</v>
      </c>
      <c r="B3" s="6" t="s">
        <v>434</v>
      </c>
    </row>
    <row r="4" spans="1:6">
      <c r="A4" s="4" t="s">
        <v>46</v>
      </c>
      <c r="B4" s="6" t="s">
        <v>435</v>
      </c>
    </row>
    <row r="5" spans="1:6">
      <c r="A5" s="4" t="s">
        <v>49</v>
      </c>
      <c r="B5" s="6" t="s">
        <v>50</v>
      </c>
    </row>
    <row r="6" spans="1:6">
      <c r="A6" s="4" t="s">
        <v>7</v>
      </c>
      <c r="B6" s="6" t="s">
        <v>8</v>
      </c>
    </row>
    <row r="7" spans="1:6">
      <c r="A7" s="4" t="s">
        <v>51</v>
      </c>
      <c r="B7" s="44">
        <v>46064</v>
      </c>
    </row>
    <row r="8" spans="1:6">
      <c r="A8" s="4" t="s">
        <v>52</v>
      </c>
      <c r="B8" s="32" t="s">
        <v>53</v>
      </c>
    </row>
    <row r="9" spans="1:6">
      <c r="A9" s="4" t="s">
        <v>54</v>
      </c>
      <c r="B9" s="43" t="s">
        <v>55</v>
      </c>
    </row>
    <row r="10" spans="1:6">
      <c r="A10" s="4" t="s">
        <v>56</v>
      </c>
      <c r="B10" s="6" t="s">
        <v>4</v>
      </c>
    </row>
    <row r="13" spans="1:6" ht="18.75">
      <c r="A13" s="3" t="s">
        <v>57</v>
      </c>
    </row>
    <row r="15" spans="1:6">
      <c r="A15" s="7" t="s">
        <v>58</v>
      </c>
      <c r="B15" s="7" t="s">
        <v>59</v>
      </c>
      <c r="C15" s="7" t="s">
        <v>60</v>
      </c>
      <c r="D15" s="7" t="s">
        <v>61</v>
      </c>
      <c r="E15" s="7" t="s">
        <v>62</v>
      </c>
      <c r="F15" s="7" t="s">
        <v>63</v>
      </c>
    </row>
    <row r="16" spans="1:6" ht="16.5">
      <c r="A16" s="8">
        <v>287</v>
      </c>
      <c r="B16" s="8" t="s">
        <v>64</v>
      </c>
      <c r="C16" s="8" t="s">
        <v>65</v>
      </c>
      <c r="D16" s="8"/>
      <c r="E16" s="8" t="s">
        <v>65</v>
      </c>
      <c r="F16" s="8"/>
    </row>
    <row r="17" spans="1:6" ht="16.5">
      <c r="A17" s="9">
        <v>288</v>
      </c>
      <c r="B17" s="9" t="s">
        <v>64</v>
      </c>
      <c r="C17" s="9" t="s">
        <v>66</v>
      </c>
      <c r="D17" s="8"/>
      <c r="E17" s="9" t="s">
        <v>66</v>
      </c>
      <c r="F17" s="8"/>
    </row>
    <row r="18" spans="1:6" ht="16.5">
      <c r="A18" s="8">
        <v>310</v>
      </c>
      <c r="B18" s="8" t="s">
        <v>67</v>
      </c>
      <c r="C18" s="8" t="s">
        <v>436</v>
      </c>
      <c r="D18" s="8" t="str">
        <f>IFERROR(_xlfn.XLOOKUP(C18,index.html!C:C,index.html!D:D)," ")</f>
        <v xml:space="preserve"> </v>
      </c>
      <c r="E18" s="8" t="s">
        <v>437</v>
      </c>
      <c r="F18" s="8"/>
    </row>
    <row r="19" spans="1:6" ht="16.5">
      <c r="A19" s="9">
        <v>311</v>
      </c>
      <c r="B19" s="9" t="s">
        <v>67</v>
      </c>
      <c r="C19" s="9" t="s">
        <v>354</v>
      </c>
      <c r="D19" s="8" t="str">
        <f>IFERROR(_xlfn.XLOOKUP(C19,index.html!C:C,index.html!D:D)," ")</f>
        <v xml:space="preserve"> </v>
      </c>
      <c r="E19" s="9" t="s">
        <v>438</v>
      </c>
      <c r="F19" s="8"/>
    </row>
    <row r="20" spans="1:6" ht="16.5">
      <c r="A20" s="8">
        <v>312</v>
      </c>
      <c r="B20" s="8" t="s">
        <v>67</v>
      </c>
      <c r="C20" s="8" t="s">
        <v>344</v>
      </c>
      <c r="D20" s="8" t="s">
        <v>72</v>
      </c>
      <c r="E20" s="8" t="s">
        <v>72</v>
      </c>
      <c r="F20" s="8"/>
    </row>
    <row r="21" spans="1:6" ht="16.5">
      <c r="A21" s="9">
        <v>313</v>
      </c>
      <c r="B21" s="9" t="s">
        <v>67</v>
      </c>
      <c r="C21" s="9" t="s">
        <v>439</v>
      </c>
      <c r="D21" s="9" t="s">
        <v>161</v>
      </c>
      <c r="E21" s="9" t="s">
        <v>161</v>
      </c>
      <c r="F21" s="8"/>
    </row>
    <row r="22" spans="1:6" ht="16.5">
      <c r="A22" s="8">
        <v>316</v>
      </c>
      <c r="B22" s="8" t="s">
        <v>67</v>
      </c>
      <c r="C22" s="8" t="s">
        <v>440</v>
      </c>
      <c r="D22" s="8" t="str">
        <f>IFERROR(_xlfn.XLOOKUP(C22,index.html!C:C,index.html!D:D)," ")</f>
        <v xml:space="preserve"> </v>
      </c>
      <c r="E22" s="8" t="s">
        <v>441</v>
      </c>
      <c r="F22" s="8"/>
    </row>
    <row r="23" spans="1:6" ht="16.5">
      <c r="A23" s="9">
        <v>317</v>
      </c>
      <c r="B23" s="9" t="s">
        <v>67</v>
      </c>
      <c r="C23" s="9" t="s">
        <v>79</v>
      </c>
      <c r="D23" s="8" t="str">
        <f>IFERROR(_xlfn.XLOOKUP(C23,index.html!C:C,index.html!D:D)," ")</f>
        <v>立即申请</v>
      </c>
      <c r="E23" s="9" t="s">
        <v>80</v>
      </c>
      <c r="F23" s="8"/>
    </row>
    <row r="24" spans="1:6" ht="16.5">
      <c r="A24" s="8">
        <v>336</v>
      </c>
      <c r="B24" s="8" t="s">
        <v>442</v>
      </c>
      <c r="C24" s="8" t="s">
        <v>443</v>
      </c>
      <c r="D24" s="8" t="str">
        <f>IFERROR(_xlfn.XLOOKUP(C24,index.html!C:C,index.html!D:D)," ")</f>
        <v xml:space="preserve"> </v>
      </c>
      <c r="E24" s="8" t="s">
        <v>444</v>
      </c>
      <c r="F24" s="8" t="str">
        <f>IFERROR(_xlfn.XLOOKUP(E24,index.html!E:E,index.html!F:F)," ")</f>
        <v xml:space="preserve"> </v>
      </c>
    </row>
    <row r="25" spans="1:6" ht="50.25">
      <c r="A25" s="9">
        <v>355</v>
      </c>
      <c r="B25" s="9" t="s">
        <v>445</v>
      </c>
      <c r="C25" s="9" t="s">
        <v>446</v>
      </c>
      <c r="D25" s="8" t="s">
        <v>447</v>
      </c>
      <c r="E25" s="9" t="s">
        <v>448</v>
      </c>
      <c r="F25" s="8" t="str">
        <f>IFERROR(_xlfn.XLOOKUP(E25,index.html!E:E,index.html!F:F)," ")</f>
        <v xml:space="preserve"> </v>
      </c>
    </row>
    <row r="26" spans="1:6" ht="73.5" customHeight="1">
      <c r="A26" s="8">
        <v>359</v>
      </c>
      <c r="B26" s="8" t="s">
        <v>449</v>
      </c>
      <c r="C26" s="8" t="s">
        <v>450</v>
      </c>
      <c r="D26" s="8" t="s">
        <v>451</v>
      </c>
      <c r="E26" s="8" t="s">
        <v>452</v>
      </c>
      <c r="F26" s="8" t="str">
        <f>IFERROR(_xlfn.XLOOKUP(E26,index.html!E:E,index.html!F:F)," ")</f>
        <v xml:space="preserve"> </v>
      </c>
    </row>
    <row r="27" spans="1:6" ht="16.5">
      <c r="A27" s="9">
        <v>365</v>
      </c>
      <c r="B27" s="9" t="s">
        <v>93</v>
      </c>
      <c r="C27" s="9" t="s">
        <v>453</v>
      </c>
      <c r="D27" s="8" t="s">
        <v>454</v>
      </c>
      <c r="E27" s="9" t="s">
        <v>455</v>
      </c>
      <c r="F27" s="8" t="str">
        <f>IFERROR(_xlfn.XLOOKUP(E27,index.html!E:E,index.html!F:F)," ")</f>
        <v xml:space="preserve"> </v>
      </c>
    </row>
    <row r="28" spans="1:6" ht="16.5">
      <c r="A28" s="8">
        <v>366</v>
      </c>
      <c r="B28" s="8" t="s">
        <v>93</v>
      </c>
      <c r="C28" s="8" t="s">
        <v>456</v>
      </c>
      <c r="D28" s="8" t="s">
        <v>457</v>
      </c>
      <c r="E28" s="8" t="s">
        <v>458</v>
      </c>
      <c r="F28" s="8" t="str">
        <f>IFERROR(_xlfn.XLOOKUP(E28,index.html!E:E,index.html!F:F)," ")</f>
        <v xml:space="preserve"> </v>
      </c>
    </row>
    <row r="29" spans="1:6" ht="16.5">
      <c r="A29" s="9">
        <v>375</v>
      </c>
      <c r="B29" s="9" t="s">
        <v>459</v>
      </c>
      <c r="C29" s="9" t="s">
        <v>460</v>
      </c>
      <c r="D29" s="8" t="s">
        <v>461</v>
      </c>
      <c r="E29" s="9" t="s">
        <v>462</v>
      </c>
      <c r="F29" s="8" t="str">
        <f>IFERROR(_xlfn.XLOOKUP(E29,index.html!E:E,index.html!F:F)," ")</f>
        <v xml:space="preserve"> </v>
      </c>
    </row>
    <row r="30" spans="1:6" ht="50.25">
      <c r="A30" s="8">
        <v>378</v>
      </c>
      <c r="B30" s="8" t="s">
        <v>463</v>
      </c>
      <c r="C30" s="8" t="s">
        <v>464</v>
      </c>
      <c r="D30" s="8" t="s">
        <v>465</v>
      </c>
      <c r="E30" s="8" t="s">
        <v>466</v>
      </c>
      <c r="F30" s="8" t="str">
        <f>IFERROR(_xlfn.XLOOKUP(E30,index.html!E:E,index.html!F:F)," ")</f>
        <v xml:space="preserve"> </v>
      </c>
    </row>
    <row r="31" spans="1:6" ht="16.5">
      <c r="A31" s="9">
        <v>382</v>
      </c>
      <c r="B31" s="9" t="s">
        <v>467</v>
      </c>
      <c r="C31" s="9" t="s">
        <v>468</v>
      </c>
      <c r="D31" s="8" t="s">
        <v>469</v>
      </c>
      <c r="E31" s="9" t="s">
        <v>469</v>
      </c>
      <c r="F31" s="8" t="str">
        <f>IFERROR(_xlfn.XLOOKUP(E31,index.html!E:E,index.html!F:F)," ")</f>
        <v xml:space="preserve"> </v>
      </c>
    </row>
    <row r="32" spans="1:6" ht="66.75">
      <c r="A32" s="8">
        <v>383</v>
      </c>
      <c r="B32" s="8" t="s">
        <v>467</v>
      </c>
      <c r="C32" s="8" t="s">
        <v>470</v>
      </c>
      <c r="D32" s="8" t="s">
        <v>471</v>
      </c>
      <c r="E32" s="8" t="s">
        <v>472</v>
      </c>
      <c r="F32" s="8" t="str">
        <f>IFERROR(_xlfn.XLOOKUP(E32,index.html!E:E,index.html!F:F)," ")</f>
        <v xml:space="preserve"> </v>
      </c>
    </row>
    <row r="33" spans="1:6" ht="16.5">
      <c r="A33" s="9">
        <v>387</v>
      </c>
      <c r="B33" s="9" t="s">
        <v>467</v>
      </c>
      <c r="C33" s="9" t="s">
        <v>473</v>
      </c>
      <c r="D33" s="8" t="str">
        <f>IFERROR(_xlfn.XLOOKUP(C33,index.html!C:C,index.html!D:D)," ")</f>
        <v xml:space="preserve"> </v>
      </c>
      <c r="E33" s="9" t="s">
        <v>474</v>
      </c>
      <c r="F33" s="8" t="str">
        <f>IFERROR(_xlfn.XLOOKUP(E33,index.html!E:E,index.html!F:F)," ")</f>
        <v xml:space="preserve"> </v>
      </c>
    </row>
    <row r="34" spans="1:6" ht="50.25">
      <c r="A34" s="8">
        <v>388</v>
      </c>
      <c r="B34" s="8" t="s">
        <v>467</v>
      </c>
      <c r="C34" s="8" t="s">
        <v>475</v>
      </c>
      <c r="D34" s="8" t="s">
        <v>476</v>
      </c>
      <c r="E34" s="8" t="s">
        <v>477</v>
      </c>
      <c r="F34" s="8" t="str">
        <f>IFERROR(_xlfn.XLOOKUP(E34,index.html!E:E,index.html!F:F)," ")</f>
        <v xml:space="preserve"> </v>
      </c>
    </row>
    <row r="35" spans="1:6" ht="16.5">
      <c r="A35" s="9">
        <v>392</v>
      </c>
      <c r="B35" s="9" t="s">
        <v>467</v>
      </c>
      <c r="C35" s="9" t="s">
        <v>478</v>
      </c>
      <c r="D35" s="8" t="str">
        <f>IFERROR(_xlfn.XLOOKUP(C35,index.html!C:C,index.html!D:D)," ")</f>
        <v xml:space="preserve"> </v>
      </c>
      <c r="E35" s="9" t="s">
        <v>194</v>
      </c>
      <c r="F35" s="8"/>
    </row>
    <row r="36" spans="1:6" ht="50.25">
      <c r="A36" s="8">
        <v>393</v>
      </c>
      <c r="B36" s="8" t="s">
        <v>467</v>
      </c>
      <c r="C36" s="8" t="s">
        <v>479</v>
      </c>
      <c r="D36" s="8" t="s">
        <v>480</v>
      </c>
      <c r="E36" s="8" t="s">
        <v>481</v>
      </c>
      <c r="F36" s="8" t="str">
        <f>IFERROR(_xlfn.XLOOKUP(E36,index.html!E:E,index.html!F:F)," ")</f>
        <v xml:space="preserve"> </v>
      </c>
    </row>
    <row r="37" spans="1:6" ht="33">
      <c r="A37" s="9">
        <v>397</v>
      </c>
      <c r="B37" s="9" t="s">
        <v>467</v>
      </c>
      <c r="C37" s="9" t="s">
        <v>482</v>
      </c>
      <c r="D37" s="8" t="s">
        <v>483</v>
      </c>
      <c r="E37" s="9" t="s">
        <v>484</v>
      </c>
      <c r="F37" s="8" t="s">
        <v>483</v>
      </c>
    </row>
    <row r="38" spans="1:6" ht="50.25">
      <c r="A38" s="8">
        <v>398</v>
      </c>
      <c r="B38" s="8" t="s">
        <v>467</v>
      </c>
      <c r="C38" s="8" t="s">
        <v>485</v>
      </c>
      <c r="D38" s="8" t="s">
        <v>486</v>
      </c>
      <c r="E38" s="8" t="s">
        <v>487</v>
      </c>
      <c r="F38" s="8" t="s">
        <v>486</v>
      </c>
    </row>
    <row r="39" spans="1:6" ht="16.5">
      <c r="A39" s="9">
        <v>403</v>
      </c>
      <c r="B39" s="9" t="s">
        <v>488</v>
      </c>
      <c r="C39" s="9" t="s">
        <v>489</v>
      </c>
      <c r="D39" s="8" t="s">
        <v>490</v>
      </c>
      <c r="E39" s="9" t="s">
        <v>490</v>
      </c>
      <c r="F39" s="8" t="str">
        <f>IFERROR(_xlfn.XLOOKUP(E39,index.html!E:E,index.html!F:F)," ")</f>
        <v xml:space="preserve"> </v>
      </c>
    </row>
    <row r="40" spans="1:6" ht="50.25">
      <c r="A40" s="8">
        <v>404</v>
      </c>
      <c r="B40" s="8" t="s">
        <v>491</v>
      </c>
      <c r="C40" s="8" t="s">
        <v>492</v>
      </c>
      <c r="D40" s="8" t="s">
        <v>493</v>
      </c>
      <c r="E40" s="8" t="s">
        <v>494</v>
      </c>
      <c r="F40" s="8" t="str">
        <f>IFERROR(_xlfn.XLOOKUP(E40,index.html!E:E,index.html!F:F)," ")</f>
        <v xml:space="preserve"> </v>
      </c>
    </row>
    <row r="41" spans="1:6" ht="16.5">
      <c r="A41" s="9">
        <v>411</v>
      </c>
      <c r="B41" s="9" t="s">
        <v>459</v>
      </c>
      <c r="C41" s="9" t="s">
        <v>495</v>
      </c>
      <c r="D41" s="8" t="s">
        <v>496</v>
      </c>
      <c r="E41" s="9" t="s">
        <v>497</v>
      </c>
      <c r="F41" s="8" t="str">
        <f>IFERROR(_xlfn.XLOOKUP(E41,index.html!E:E,index.html!F:F)," ")</f>
        <v xml:space="preserve"> </v>
      </c>
    </row>
    <row r="42" spans="1:6" ht="33">
      <c r="A42" s="8">
        <v>414</v>
      </c>
      <c r="B42" s="8" t="s">
        <v>463</v>
      </c>
      <c r="C42" s="8" t="s">
        <v>498</v>
      </c>
      <c r="D42" s="8" t="s">
        <v>499</v>
      </c>
      <c r="E42" s="8" t="s">
        <v>500</v>
      </c>
      <c r="F42" s="8" t="s">
        <v>499</v>
      </c>
    </row>
    <row r="43" spans="1:6" ht="16.5">
      <c r="A43" s="9">
        <v>419</v>
      </c>
      <c r="B43" s="9" t="s">
        <v>501</v>
      </c>
      <c r="C43" s="9" t="s">
        <v>502</v>
      </c>
      <c r="D43" s="8" t="s">
        <v>503</v>
      </c>
      <c r="E43" s="9" t="s">
        <v>504</v>
      </c>
      <c r="F43" s="8" t="s">
        <v>503</v>
      </c>
    </row>
    <row r="44" spans="1:6" ht="33">
      <c r="A44" s="8">
        <v>420</v>
      </c>
      <c r="B44" s="8" t="s">
        <v>501</v>
      </c>
      <c r="C44" s="8" t="s">
        <v>505</v>
      </c>
      <c r="D44" s="8" t="s">
        <v>506</v>
      </c>
      <c r="E44" s="8" t="s">
        <v>507</v>
      </c>
      <c r="F44" s="8" t="str">
        <f>IFERROR(_xlfn.XLOOKUP(E44,index.html!E:E,index.html!F:F)," ")</f>
        <v xml:space="preserve"> </v>
      </c>
    </row>
    <row r="45" spans="1:6" ht="16.5">
      <c r="A45" s="9">
        <v>424</v>
      </c>
      <c r="B45" s="9" t="s">
        <v>501</v>
      </c>
      <c r="C45" s="9" t="s">
        <v>508</v>
      </c>
      <c r="D45" s="8" t="s">
        <v>509</v>
      </c>
      <c r="E45" s="9" t="s">
        <v>510</v>
      </c>
      <c r="F45" s="8" t="str">
        <f>IFERROR(_xlfn.XLOOKUP(E45,index.html!E:E,index.html!F:F)," ")</f>
        <v xml:space="preserve"> </v>
      </c>
    </row>
    <row r="46" spans="1:6" ht="33">
      <c r="A46" s="8">
        <v>425</v>
      </c>
      <c r="B46" s="8" t="s">
        <v>501</v>
      </c>
      <c r="C46" s="8" t="s">
        <v>511</v>
      </c>
      <c r="D46" s="8" t="s">
        <v>512</v>
      </c>
      <c r="E46" s="8" t="s">
        <v>513</v>
      </c>
      <c r="F46" s="8" t="str">
        <f>IFERROR(_xlfn.XLOOKUP(E46,index.html!E:E,index.html!F:F)," ")</f>
        <v xml:space="preserve"> </v>
      </c>
    </row>
    <row r="47" spans="1:6" ht="16.5">
      <c r="A47" s="9">
        <v>429</v>
      </c>
      <c r="B47" s="9" t="s">
        <v>501</v>
      </c>
      <c r="C47" s="9" t="s">
        <v>514</v>
      </c>
      <c r="D47" s="8" t="s">
        <v>515</v>
      </c>
      <c r="E47" s="9" t="s">
        <v>515</v>
      </c>
      <c r="F47" s="8" t="str">
        <f>IFERROR(_xlfn.XLOOKUP(E47,index.html!E:E,index.html!F:F)," ")</f>
        <v xml:space="preserve"> </v>
      </c>
    </row>
    <row r="48" spans="1:6" ht="33">
      <c r="A48" s="8">
        <v>430</v>
      </c>
      <c r="B48" s="8" t="s">
        <v>501</v>
      </c>
      <c r="C48" s="8" t="s">
        <v>516</v>
      </c>
      <c r="D48" s="8" t="s">
        <v>517</v>
      </c>
      <c r="E48" s="8" t="s">
        <v>518</v>
      </c>
      <c r="F48" s="8" t="str">
        <f>IFERROR(_xlfn.XLOOKUP(E48,index.html!E:E,index.html!F:F)," ")</f>
        <v xml:space="preserve"> </v>
      </c>
    </row>
    <row r="49" spans="1:6" ht="16.5">
      <c r="A49" s="9">
        <v>437</v>
      </c>
      <c r="B49" s="9" t="s">
        <v>519</v>
      </c>
      <c r="C49" s="9" t="s">
        <v>520</v>
      </c>
      <c r="D49" s="8" t="s">
        <v>521</v>
      </c>
      <c r="E49" s="9" t="s">
        <v>522</v>
      </c>
      <c r="F49" s="8" t="s">
        <v>521</v>
      </c>
    </row>
    <row r="50" spans="1:6" ht="33">
      <c r="A50" s="8">
        <v>439</v>
      </c>
      <c r="B50" s="8" t="s">
        <v>523</v>
      </c>
      <c r="C50" s="8" t="s">
        <v>524</v>
      </c>
      <c r="D50" s="8" t="s">
        <v>525</v>
      </c>
      <c r="E50" s="8" t="s">
        <v>526</v>
      </c>
      <c r="F50" s="8" t="s">
        <v>525</v>
      </c>
    </row>
    <row r="51" spans="1:6" ht="33">
      <c r="A51" s="9">
        <v>440</v>
      </c>
      <c r="B51" s="9" t="s">
        <v>523</v>
      </c>
      <c r="C51" s="9" t="s">
        <v>527</v>
      </c>
      <c r="D51" s="8" t="s">
        <v>528</v>
      </c>
      <c r="E51" s="9" t="s">
        <v>529</v>
      </c>
      <c r="F51" s="8" t="str">
        <f>IFERROR(_xlfn.XLOOKUP(E51,index.html!E:E,index.html!F:F)," ")</f>
        <v xml:space="preserve"> </v>
      </c>
    </row>
    <row r="52" spans="1:6" ht="33">
      <c r="A52" s="8">
        <v>441</v>
      </c>
      <c r="B52" s="8" t="s">
        <v>523</v>
      </c>
      <c r="C52" s="8" t="s">
        <v>530</v>
      </c>
      <c r="D52" s="8" t="s">
        <v>531</v>
      </c>
      <c r="E52" s="8" t="s">
        <v>532</v>
      </c>
      <c r="F52" s="8" t="str">
        <f>IFERROR(_xlfn.XLOOKUP(E52,index.html!E:E,index.html!F:F)," ")</f>
        <v xml:space="preserve"> </v>
      </c>
    </row>
    <row r="53" spans="1:6" ht="33">
      <c r="A53" s="9">
        <v>442</v>
      </c>
      <c r="B53" s="9" t="s">
        <v>523</v>
      </c>
      <c r="C53" s="9" t="s">
        <v>533</v>
      </c>
      <c r="D53" s="8" t="s">
        <v>534</v>
      </c>
      <c r="E53" s="9" t="s">
        <v>535</v>
      </c>
      <c r="F53" s="9" t="s">
        <v>536</v>
      </c>
    </row>
    <row r="54" spans="1:6" ht="32.25">
      <c r="A54" s="8">
        <v>443</v>
      </c>
      <c r="B54" s="8" t="s">
        <v>523</v>
      </c>
      <c r="C54" s="8" t="s">
        <v>537</v>
      </c>
      <c r="D54" s="8" t="s">
        <v>538</v>
      </c>
      <c r="E54" s="8" t="s">
        <v>539</v>
      </c>
      <c r="F54" s="8" t="str">
        <f>IFERROR(_xlfn.XLOOKUP(E54,index.html!E:E,index.html!F:F)," ")</f>
        <v xml:space="preserve"> </v>
      </c>
    </row>
    <row r="55" spans="1:6" ht="16.5">
      <c r="A55" s="9">
        <v>447</v>
      </c>
      <c r="B55" s="9" t="s">
        <v>540</v>
      </c>
      <c r="C55" s="9" t="s">
        <v>541</v>
      </c>
      <c r="D55" s="8" t="s">
        <v>542</v>
      </c>
      <c r="E55" s="9" t="s">
        <v>543</v>
      </c>
      <c r="F55" s="8" t="str">
        <f>IFERROR(_xlfn.XLOOKUP(E55,index.html!E:E,index.html!F:F)," ")</f>
        <v xml:space="preserve"> </v>
      </c>
    </row>
    <row r="56" spans="1:6" ht="33">
      <c r="A56" s="8">
        <v>449</v>
      </c>
      <c r="B56" s="8" t="s">
        <v>544</v>
      </c>
      <c r="C56" s="8" t="s">
        <v>545</v>
      </c>
      <c r="D56" s="8" t="s">
        <v>546</v>
      </c>
      <c r="E56" s="8" t="s">
        <v>547</v>
      </c>
      <c r="F56" s="8" t="str">
        <f>IFERROR(_xlfn.XLOOKUP(E56,index.html!E:E,index.html!F:F)," ")</f>
        <v xml:space="preserve"> </v>
      </c>
    </row>
    <row r="57" spans="1:6" ht="33">
      <c r="A57" s="9">
        <v>450</v>
      </c>
      <c r="B57" s="9" t="s">
        <v>544</v>
      </c>
      <c r="C57" s="9" t="s">
        <v>548</v>
      </c>
      <c r="D57" s="8" t="s">
        <v>549</v>
      </c>
      <c r="E57" s="9" t="s">
        <v>550</v>
      </c>
      <c r="F57" s="8" t="str">
        <f>IFERROR(_xlfn.XLOOKUP(E57,index.html!E:E,index.html!F:F)," ")</f>
        <v xml:space="preserve"> </v>
      </c>
    </row>
    <row r="58" spans="1:6" ht="33">
      <c r="A58" s="8">
        <v>451</v>
      </c>
      <c r="B58" s="8" t="s">
        <v>544</v>
      </c>
      <c r="C58" s="8" t="s">
        <v>551</v>
      </c>
      <c r="D58" s="45" t="s">
        <v>552</v>
      </c>
      <c r="E58" s="8" t="s">
        <v>553</v>
      </c>
      <c r="F58" s="8" t="str">
        <f>IFERROR(_xlfn.XLOOKUP(E58,index.html!E:E,index.html!F:F)," ")</f>
        <v xml:space="preserve"> </v>
      </c>
    </row>
    <row r="59" spans="1:6" ht="33">
      <c r="A59" s="9">
        <v>452</v>
      </c>
      <c r="B59" s="9" t="s">
        <v>544</v>
      </c>
      <c r="C59" s="9" t="s">
        <v>554</v>
      </c>
      <c r="D59" s="8" t="s">
        <v>555</v>
      </c>
      <c r="E59" s="9" t="s">
        <v>556</v>
      </c>
      <c r="F59" s="8" t="str">
        <f>IFERROR(_xlfn.XLOOKUP(E59,index.html!E:E,index.html!F:F)," ")</f>
        <v xml:space="preserve"> </v>
      </c>
    </row>
    <row r="60" spans="1:6" ht="16.5">
      <c r="A60" s="8">
        <v>458</v>
      </c>
      <c r="B60" s="8" t="s">
        <v>488</v>
      </c>
      <c r="C60" s="8" t="s">
        <v>557</v>
      </c>
      <c r="D60" s="8" t="s">
        <v>558</v>
      </c>
      <c r="E60" s="8" t="s">
        <v>558</v>
      </c>
      <c r="F60" s="8" t="str">
        <f>IFERROR(_xlfn.XLOOKUP(E60,index.html!E:E,index.html!F:F)," ")</f>
        <v xml:space="preserve"> </v>
      </c>
    </row>
    <row r="61" spans="1:6" ht="33">
      <c r="A61" s="9">
        <v>465</v>
      </c>
      <c r="B61" s="9" t="s">
        <v>459</v>
      </c>
      <c r="C61" s="9" t="s">
        <v>559</v>
      </c>
      <c r="D61" s="8" t="s">
        <v>560</v>
      </c>
      <c r="E61" s="9" t="s">
        <v>561</v>
      </c>
      <c r="F61" s="8" t="str">
        <f>IFERROR(_xlfn.XLOOKUP(E61,index.html!E:E,index.html!F:F)," ")</f>
        <v xml:space="preserve"> </v>
      </c>
    </row>
    <row r="62" spans="1:6" ht="33">
      <c r="A62" s="8">
        <v>468</v>
      </c>
      <c r="B62" s="8" t="s">
        <v>463</v>
      </c>
      <c r="C62" s="8" t="s">
        <v>562</v>
      </c>
      <c r="D62" s="8" t="s">
        <v>563</v>
      </c>
      <c r="E62" s="8" t="s">
        <v>564</v>
      </c>
      <c r="F62" s="8" t="str">
        <f>IFERROR(_xlfn.XLOOKUP(E62,index.html!E:E,index.html!F:F)," ")</f>
        <v xml:space="preserve"> </v>
      </c>
    </row>
    <row r="63" spans="1:6" ht="16.5">
      <c r="A63" s="9">
        <v>476</v>
      </c>
      <c r="B63" s="9" t="s">
        <v>565</v>
      </c>
      <c r="C63" s="9" t="s">
        <v>566</v>
      </c>
      <c r="D63" s="8" t="s">
        <v>567</v>
      </c>
      <c r="E63" s="9" t="s">
        <v>568</v>
      </c>
      <c r="F63" s="8" t="str">
        <f>IFERROR(_xlfn.XLOOKUP(E63,index.html!E:E,index.html!F:F)," ")</f>
        <v xml:space="preserve"> </v>
      </c>
    </row>
    <row r="64" spans="1:6" ht="16.5">
      <c r="A64" s="8">
        <v>484</v>
      </c>
      <c r="B64" s="8" t="s">
        <v>488</v>
      </c>
      <c r="C64" s="8" t="s">
        <v>569</v>
      </c>
      <c r="D64" s="8" t="s">
        <v>570</v>
      </c>
      <c r="E64" s="8" t="s">
        <v>571</v>
      </c>
      <c r="F64" s="8" t="str">
        <f>IFERROR(_xlfn.XLOOKUP(E64,index.html!E:E,index.html!F:F)," ")</f>
        <v xml:space="preserve"> </v>
      </c>
    </row>
    <row r="65" spans="1:6" ht="16.5">
      <c r="A65" s="9">
        <v>491</v>
      </c>
      <c r="B65" s="9" t="s">
        <v>572</v>
      </c>
      <c r="C65" s="9" t="s">
        <v>573</v>
      </c>
      <c r="D65" s="8" t="s">
        <v>574</v>
      </c>
      <c r="E65" s="9" t="s">
        <v>575</v>
      </c>
      <c r="F65" s="8" t="str">
        <f>IFERROR(_xlfn.XLOOKUP(E65,index.html!E:E,index.html!F:F)," ")</f>
        <v xml:space="preserve"> </v>
      </c>
    </row>
    <row r="66" spans="1:6" ht="16.5">
      <c r="A66" s="8">
        <v>496</v>
      </c>
      <c r="B66" s="8" t="s">
        <v>576</v>
      </c>
      <c r="C66" s="8" t="s">
        <v>577</v>
      </c>
      <c r="D66" s="8" t="str">
        <f>IFERROR(_xlfn.XLOOKUP(C66,index.html!C:C,index.html!D:D)," ")</f>
        <v xml:space="preserve"> </v>
      </c>
      <c r="E66" s="8" t="s">
        <v>578</v>
      </c>
      <c r="F66" s="8" t="str">
        <f>IFERROR(_xlfn.XLOOKUP(E66,index.html!E:E,index.html!F:F)," ")</f>
        <v xml:space="preserve"> </v>
      </c>
    </row>
    <row r="67" spans="1:6" ht="66.75">
      <c r="A67" s="9">
        <v>497</v>
      </c>
      <c r="B67" s="9" t="s">
        <v>579</v>
      </c>
      <c r="C67" s="9" t="s">
        <v>580</v>
      </c>
      <c r="D67" s="9" t="s">
        <v>581</v>
      </c>
      <c r="E67" s="9" t="s">
        <v>582</v>
      </c>
      <c r="F67" s="8" t="str">
        <f>IFERROR(_xlfn.XLOOKUP(E67,index.html!E:E,index.html!F:F)," ")</f>
        <v xml:space="preserve"> </v>
      </c>
    </row>
    <row r="68" spans="1:6" ht="16.5">
      <c r="A68" s="8">
        <v>500</v>
      </c>
      <c r="B68" s="8" t="s">
        <v>576</v>
      </c>
      <c r="C68" s="8" t="s">
        <v>583</v>
      </c>
      <c r="D68" s="8" t="s">
        <v>584</v>
      </c>
      <c r="E68" s="8" t="s">
        <v>585</v>
      </c>
      <c r="F68" s="8" t="str">
        <f>IFERROR(_xlfn.XLOOKUP(E68,index.html!E:E,index.html!F:F)," ")</f>
        <v xml:space="preserve"> </v>
      </c>
    </row>
    <row r="69" spans="1:6" ht="33">
      <c r="A69" s="9">
        <v>501</v>
      </c>
      <c r="B69" s="9" t="s">
        <v>579</v>
      </c>
      <c r="C69" s="9" t="s">
        <v>586</v>
      </c>
      <c r="D69" s="8" t="s">
        <v>587</v>
      </c>
      <c r="E69" s="9" t="s">
        <v>588</v>
      </c>
      <c r="F69" s="8" t="str">
        <f>IFERROR(_xlfn.XLOOKUP(E69,index.html!E:E,index.html!F:F)," ")</f>
        <v xml:space="preserve"> </v>
      </c>
    </row>
    <row r="70" spans="1:6" ht="33">
      <c r="A70" s="8">
        <v>504</v>
      </c>
      <c r="B70" s="8" t="s">
        <v>576</v>
      </c>
      <c r="C70" s="8" t="s">
        <v>589</v>
      </c>
      <c r="D70" s="8" t="s">
        <v>590</v>
      </c>
      <c r="E70" s="8" t="s">
        <v>591</v>
      </c>
      <c r="F70" s="8" t="str">
        <f>IFERROR(_xlfn.XLOOKUP(E70,index.html!E:E,index.html!F:F)," ")</f>
        <v xml:space="preserve"> </v>
      </c>
    </row>
    <row r="71" spans="1:6" ht="33">
      <c r="A71" s="9">
        <v>505</v>
      </c>
      <c r="B71" s="9" t="s">
        <v>579</v>
      </c>
      <c r="C71" s="9" t="s">
        <v>592</v>
      </c>
      <c r="D71" s="8" t="s">
        <v>593</v>
      </c>
      <c r="E71" s="9" t="s">
        <v>594</v>
      </c>
      <c r="F71" s="8" t="str">
        <f>IFERROR(_xlfn.XLOOKUP(E71,index.html!E:E,index.html!F:F)," ")</f>
        <v xml:space="preserve"> </v>
      </c>
    </row>
    <row r="72" spans="1:6" ht="33">
      <c r="A72" s="8">
        <v>508</v>
      </c>
      <c r="B72" s="8" t="s">
        <v>576</v>
      </c>
      <c r="C72" s="8" t="s">
        <v>595</v>
      </c>
      <c r="D72" s="8" t="s">
        <v>596</v>
      </c>
      <c r="E72" s="8" t="s">
        <v>597</v>
      </c>
      <c r="F72" s="8" t="str">
        <f>IFERROR(_xlfn.XLOOKUP(E72,index.html!E:E,index.html!F:F)," ")</f>
        <v xml:space="preserve"> </v>
      </c>
    </row>
    <row r="73" spans="1:6" ht="50.25">
      <c r="A73" s="9">
        <v>509</v>
      </c>
      <c r="B73" s="9" t="s">
        <v>579</v>
      </c>
      <c r="C73" s="9" t="s">
        <v>598</v>
      </c>
      <c r="D73" s="8" t="s">
        <v>599</v>
      </c>
      <c r="E73" s="9" t="s">
        <v>600</v>
      </c>
      <c r="F73" s="8" t="str">
        <f>IFERROR(_xlfn.XLOOKUP(E73,index.html!E:E,index.html!F:F)," ")</f>
        <v xml:space="preserve"> </v>
      </c>
    </row>
    <row r="74" spans="1:6" ht="16.5">
      <c r="A74" s="8">
        <v>514</v>
      </c>
      <c r="B74" s="8" t="s">
        <v>488</v>
      </c>
      <c r="C74" s="8" t="s">
        <v>601</v>
      </c>
      <c r="D74" s="8" t="s">
        <v>602</v>
      </c>
      <c r="E74" s="8" t="s">
        <v>602</v>
      </c>
      <c r="F74" s="8" t="str">
        <f>IFERROR(_xlfn.XLOOKUP(E74,index.html!E:E,index.html!F:F)," ")</f>
        <v xml:space="preserve"> </v>
      </c>
    </row>
    <row r="75" spans="1:6" ht="33">
      <c r="A75" s="9">
        <v>516</v>
      </c>
      <c r="B75" s="9" t="s">
        <v>491</v>
      </c>
      <c r="C75" s="9" t="s">
        <v>603</v>
      </c>
      <c r="D75" s="8" t="s">
        <v>604</v>
      </c>
      <c r="E75" s="9" t="s">
        <v>605</v>
      </c>
      <c r="F75" s="8" t="str">
        <f>IFERROR(_xlfn.XLOOKUP(E75,index.html!E:E,index.html!F:F)," ")</f>
        <v xml:space="preserve"> </v>
      </c>
    </row>
    <row r="76" spans="1:6" ht="16.5">
      <c r="A76" s="8">
        <v>540</v>
      </c>
      <c r="B76" s="8" t="s">
        <v>352</v>
      </c>
      <c r="C76" s="8" t="s">
        <v>79</v>
      </c>
      <c r="D76" s="8" t="str">
        <f>IFERROR(_xlfn.XLOOKUP(C76,index.html!C:C,index.html!D:D)," ")</f>
        <v>立即申请</v>
      </c>
      <c r="E76" s="8" t="s">
        <v>80</v>
      </c>
      <c r="F76" s="8"/>
    </row>
    <row r="77" spans="1:6" ht="16.5">
      <c r="A77" s="9">
        <v>542</v>
      </c>
      <c r="B77" s="9" t="s">
        <v>352</v>
      </c>
      <c r="C77" s="9" t="s">
        <v>606</v>
      </c>
      <c r="D77" s="8" t="s">
        <v>353</v>
      </c>
      <c r="E77" s="9" t="s">
        <v>607</v>
      </c>
      <c r="F77" s="8" t="str">
        <f>IFERROR(_xlfn.XLOOKUP(E77,index.html!E:E,index.html!F:F)," ")</f>
        <v xml:space="preserve"> 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F51"/>
  <sheetViews>
    <sheetView topLeftCell="A48" workbookViewId="0">
      <selection activeCell="E53" sqref="E53:E54"/>
    </sheetView>
  </sheetViews>
  <sheetFormatPr defaultRowHeight="15"/>
  <cols>
    <col min="1" max="1" width="10" customWidth="1"/>
    <col min="2" max="2" width="18" customWidth="1"/>
    <col min="3" max="3" width="45" customWidth="1"/>
    <col min="4" max="4" width="20" customWidth="1"/>
    <col min="5" max="5" width="45" customWidth="1"/>
    <col min="6" max="6" width="20" customWidth="1"/>
  </cols>
  <sheetData>
    <row r="1" spans="1:6">
      <c r="A1" s="4" t="s">
        <v>1</v>
      </c>
      <c r="B1" s="5" t="s">
        <v>42</v>
      </c>
    </row>
    <row r="2" spans="1:6">
      <c r="A2" s="4" t="s">
        <v>43</v>
      </c>
      <c r="B2" s="6" t="s">
        <v>20</v>
      </c>
    </row>
    <row r="3" spans="1:6">
      <c r="A3" s="4" t="s">
        <v>44</v>
      </c>
      <c r="B3" s="6" t="s">
        <v>608</v>
      </c>
    </row>
    <row r="4" spans="1:6">
      <c r="A4" s="4" t="s">
        <v>46</v>
      </c>
      <c r="B4" s="6" t="s">
        <v>609</v>
      </c>
    </row>
    <row r="5" spans="1:6">
      <c r="A5" s="4" t="s">
        <v>49</v>
      </c>
      <c r="B5" s="6" t="s">
        <v>50</v>
      </c>
    </row>
    <row r="6" spans="1:6">
      <c r="A6" s="4" t="s">
        <v>7</v>
      </c>
      <c r="B6" s="6" t="s">
        <v>8</v>
      </c>
    </row>
    <row r="7" spans="1:6">
      <c r="A7" s="4" t="s">
        <v>51</v>
      </c>
      <c r="B7" s="44">
        <v>46065</v>
      </c>
    </row>
    <row r="8" spans="1:6">
      <c r="A8" s="4" t="s">
        <v>52</v>
      </c>
      <c r="B8" s="32" t="s">
        <v>53</v>
      </c>
    </row>
    <row r="9" spans="1:6">
      <c r="A9" s="4" t="s">
        <v>54</v>
      </c>
      <c r="B9" s="43" t="s">
        <v>55</v>
      </c>
    </row>
    <row r="10" spans="1:6">
      <c r="A10" s="4" t="s">
        <v>56</v>
      </c>
      <c r="B10" s="6" t="s">
        <v>4</v>
      </c>
    </row>
    <row r="13" spans="1:6" ht="18.75">
      <c r="A13" s="3" t="s">
        <v>57</v>
      </c>
    </row>
    <row r="15" spans="1:6">
      <c r="A15" s="7" t="s">
        <v>58</v>
      </c>
      <c r="B15" s="7" t="s">
        <v>59</v>
      </c>
      <c r="C15" s="7" t="s">
        <v>60</v>
      </c>
      <c r="D15" s="7" t="s">
        <v>61</v>
      </c>
      <c r="E15" s="7" t="s">
        <v>62</v>
      </c>
      <c r="F15" s="7" t="s">
        <v>63</v>
      </c>
    </row>
    <row r="16" spans="1:6" ht="16.5">
      <c r="A16" s="8">
        <v>287</v>
      </c>
      <c r="B16" s="8" t="s">
        <v>64</v>
      </c>
      <c r="C16" s="8" t="s">
        <v>65</v>
      </c>
      <c r="D16" s="8"/>
      <c r="E16" s="8" t="s">
        <v>65</v>
      </c>
      <c r="F16" s="8"/>
    </row>
    <row r="17" spans="1:6" ht="16.5">
      <c r="A17" s="9">
        <v>288</v>
      </c>
      <c r="B17" s="9" t="s">
        <v>64</v>
      </c>
      <c r="C17" s="9" t="s">
        <v>66</v>
      </c>
      <c r="D17" s="8"/>
      <c r="E17" s="9" t="s">
        <v>66</v>
      </c>
      <c r="F17" s="9"/>
    </row>
    <row r="18" spans="1:6" ht="16.5">
      <c r="A18" s="8">
        <v>333</v>
      </c>
      <c r="B18" s="8" t="s">
        <v>445</v>
      </c>
      <c r="C18" s="8" t="s">
        <v>610</v>
      </c>
      <c r="D18" s="8" t="str">
        <f>IFERROR(_xlfn.XLOOKUP(C18,index.html!C:C,index.html!D:D)," ")</f>
        <v xml:space="preserve"> </v>
      </c>
      <c r="E18" s="8" t="s">
        <v>610</v>
      </c>
      <c r="F18" s="8"/>
    </row>
    <row r="19" spans="1:6" ht="33">
      <c r="A19" s="9">
        <v>334</v>
      </c>
      <c r="B19" s="9" t="s">
        <v>449</v>
      </c>
      <c r="C19" s="9" t="s">
        <v>611</v>
      </c>
      <c r="D19" s="8" t="str">
        <f>IFERROR(_xlfn.XLOOKUP(C19,index.html!C:C,index.html!D:D)," ")</f>
        <v xml:space="preserve"> </v>
      </c>
      <c r="E19" s="9" t="s">
        <v>612</v>
      </c>
      <c r="F19" s="9"/>
    </row>
    <row r="20" spans="1:6" ht="16.5">
      <c r="A20" s="8">
        <v>337</v>
      </c>
      <c r="B20" s="8" t="s">
        <v>93</v>
      </c>
      <c r="C20" s="8" t="s">
        <v>96</v>
      </c>
      <c r="D20" s="8" t="str">
        <f>IFERROR(_xlfn.XLOOKUP(C20,index.html!C:C,index.html!D:D)," ")</f>
        <v xml:space="preserve"> </v>
      </c>
      <c r="E20" s="8" t="s">
        <v>96</v>
      </c>
      <c r="F20" s="8"/>
    </row>
    <row r="21" spans="1:6" ht="16.5">
      <c r="A21" s="9">
        <v>338</v>
      </c>
      <c r="B21" s="9" t="s">
        <v>93</v>
      </c>
      <c r="C21" s="9" t="s">
        <v>613</v>
      </c>
      <c r="D21" s="8" t="str">
        <f>IFERROR(_xlfn.XLOOKUP(C21,index.html!C:C,index.html!D:D)," ")</f>
        <v xml:space="preserve"> </v>
      </c>
      <c r="E21" s="9" t="s">
        <v>613</v>
      </c>
      <c r="F21" s="9" t="s">
        <v>614</v>
      </c>
    </row>
    <row r="22" spans="1:6" ht="16.5">
      <c r="A22" s="8">
        <v>356</v>
      </c>
      <c r="B22" s="8" t="s">
        <v>459</v>
      </c>
      <c r="C22" s="8" t="s">
        <v>615</v>
      </c>
      <c r="D22" s="8" t="str">
        <f>IFERROR(_xlfn.XLOOKUP(C22,index.html!C:C,index.html!D:D)," ")</f>
        <v xml:space="preserve"> </v>
      </c>
      <c r="E22" s="8" t="s">
        <v>616</v>
      </c>
      <c r="F22" s="8"/>
    </row>
    <row r="23" spans="1:6" ht="16.5">
      <c r="A23" s="9">
        <v>361</v>
      </c>
      <c r="B23" s="9" t="s">
        <v>617</v>
      </c>
      <c r="C23" s="9" t="s">
        <v>618</v>
      </c>
      <c r="D23" s="8" t="str">
        <f>IFERROR(_xlfn.XLOOKUP(C23,index.html!C:C,index.html!D:D)," ")</f>
        <v xml:space="preserve"> </v>
      </c>
      <c r="E23" s="9" t="s">
        <v>619</v>
      </c>
      <c r="F23" s="9"/>
    </row>
    <row r="24" spans="1:6" ht="16.5">
      <c r="A24" s="8">
        <v>362</v>
      </c>
      <c r="B24" s="8" t="s">
        <v>620</v>
      </c>
      <c r="C24" s="8" t="s">
        <v>621</v>
      </c>
      <c r="D24" s="8" t="str">
        <f>IFERROR(_xlfn.XLOOKUP(C24,index.html!C:C,index.html!D:D)," ")</f>
        <v xml:space="preserve"> </v>
      </c>
      <c r="E24" s="8" t="s">
        <v>622</v>
      </c>
      <c r="F24" s="8" t="s">
        <v>623</v>
      </c>
    </row>
    <row r="25" spans="1:6" ht="16.5">
      <c r="A25" s="9">
        <v>362</v>
      </c>
      <c r="B25" s="9" t="s">
        <v>620</v>
      </c>
      <c r="C25" s="9" t="s">
        <v>624</v>
      </c>
      <c r="D25" s="8" t="str">
        <f>IFERROR(_xlfn.XLOOKUP(C25,index.html!C:C,index.html!D:D)," ")</f>
        <v xml:space="preserve"> </v>
      </c>
      <c r="E25" s="9" t="s">
        <v>625</v>
      </c>
      <c r="F25" s="9"/>
    </row>
    <row r="26" spans="1:6" ht="33">
      <c r="A26" s="8">
        <v>362</v>
      </c>
      <c r="B26" s="8" t="s">
        <v>620</v>
      </c>
      <c r="C26" s="8" t="s">
        <v>626</v>
      </c>
      <c r="D26" s="8" t="str">
        <f>IFERROR(_xlfn.XLOOKUP(C26,index.html!C:C,index.html!D:D)," ")</f>
        <v xml:space="preserve"> </v>
      </c>
      <c r="E26" s="8" t="s">
        <v>627</v>
      </c>
      <c r="F26" s="8"/>
    </row>
    <row r="27" spans="1:6" ht="16.5">
      <c r="A27" s="9">
        <v>363</v>
      </c>
      <c r="B27" s="9" t="s">
        <v>620</v>
      </c>
      <c r="C27" s="9" t="s">
        <v>628</v>
      </c>
      <c r="D27" s="8" t="str">
        <f>IFERROR(_xlfn.XLOOKUP(C27,index.html!C:C,index.html!D:D)," ")</f>
        <v xml:space="preserve"> </v>
      </c>
      <c r="E27" s="9" t="s">
        <v>629</v>
      </c>
      <c r="F27" s="9"/>
    </row>
    <row r="28" spans="1:6" ht="16.5">
      <c r="A28" s="8">
        <v>363</v>
      </c>
      <c r="B28" s="8" t="s">
        <v>620</v>
      </c>
      <c r="C28" s="8" t="s">
        <v>630</v>
      </c>
      <c r="D28" s="8" t="str">
        <f>IFERROR(_xlfn.XLOOKUP(C28,index.html!C:C,index.html!D:D)," ")</f>
        <v xml:space="preserve"> </v>
      </c>
      <c r="E28" s="8" t="s">
        <v>631</v>
      </c>
      <c r="F28" s="8"/>
    </row>
    <row r="29" spans="1:6" ht="16.5">
      <c r="A29" s="9">
        <v>364</v>
      </c>
      <c r="B29" s="9" t="s">
        <v>620</v>
      </c>
      <c r="C29" s="9" t="s">
        <v>632</v>
      </c>
      <c r="D29" s="8" t="str">
        <f>IFERROR(_xlfn.XLOOKUP(C29,index.html!C:C,index.html!D:D)," ")</f>
        <v xml:space="preserve"> </v>
      </c>
      <c r="E29" s="9" t="s">
        <v>633</v>
      </c>
      <c r="F29" s="9"/>
    </row>
    <row r="30" spans="1:6" ht="16.5">
      <c r="A30" s="8">
        <v>364</v>
      </c>
      <c r="B30" s="8" t="s">
        <v>620</v>
      </c>
      <c r="C30" s="8" t="s">
        <v>634</v>
      </c>
      <c r="D30" s="8" t="str">
        <f>IFERROR(_xlfn.XLOOKUP(C30,index.html!C:C,index.html!D:D)," ")</f>
        <v xml:space="preserve"> </v>
      </c>
      <c r="E30" s="8" t="s">
        <v>635</v>
      </c>
      <c r="F30" s="8"/>
    </row>
    <row r="31" spans="1:6" ht="33">
      <c r="A31" s="9">
        <v>369</v>
      </c>
      <c r="B31" s="9" t="s">
        <v>636</v>
      </c>
      <c r="C31" s="9" t="s">
        <v>637</v>
      </c>
      <c r="D31" s="8" t="str">
        <f>IFERROR(_xlfn.XLOOKUP(C31,index.html!C:C,index.html!D:D)," ")</f>
        <v xml:space="preserve"> </v>
      </c>
      <c r="E31" s="9" t="s">
        <v>638</v>
      </c>
      <c r="F31" s="9"/>
    </row>
    <row r="32" spans="1:6" ht="16.5">
      <c r="A32" s="8">
        <v>374</v>
      </c>
      <c r="B32" s="8" t="s">
        <v>459</v>
      </c>
      <c r="C32" s="8" t="s">
        <v>639</v>
      </c>
      <c r="D32" s="8" t="str">
        <f>IFERROR(_xlfn.XLOOKUP(C32,index.html!C:C,index.html!D:D)," ")</f>
        <v xml:space="preserve"> </v>
      </c>
      <c r="E32" s="8" t="s">
        <v>639</v>
      </c>
      <c r="F32" s="8"/>
    </row>
    <row r="33" spans="1:6" ht="16.5">
      <c r="A33" s="9">
        <v>378</v>
      </c>
      <c r="B33" s="9" t="s">
        <v>640</v>
      </c>
      <c r="C33" s="9" t="s">
        <v>641</v>
      </c>
      <c r="D33" s="8" t="str">
        <f>IFERROR(_xlfn.XLOOKUP(C33,index.html!C:C,index.html!D:D)," ")</f>
        <v xml:space="preserve"> </v>
      </c>
      <c r="E33" s="9" t="s">
        <v>642</v>
      </c>
      <c r="F33" s="9"/>
    </row>
    <row r="34" spans="1:6" ht="16.5">
      <c r="A34" s="8">
        <v>395</v>
      </c>
      <c r="B34" s="8" t="s">
        <v>640</v>
      </c>
      <c r="C34" s="8" t="s">
        <v>643</v>
      </c>
      <c r="D34" s="8" t="str">
        <f>IFERROR(_xlfn.XLOOKUP(C34,index.html!C:C,index.html!D:D)," ")</f>
        <v xml:space="preserve"> </v>
      </c>
      <c r="E34" s="8" t="s">
        <v>644</v>
      </c>
      <c r="F34" s="8"/>
    </row>
    <row r="35" spans="1:6" ht="16.5">
      <c r="A35" s="9">
        <v>412</v>
      </c>
      <c r="B35" s="9" t="s">
        <v>640</v>
      </c>
      <c r="C35" s="9" t="s">
        <v>645</v>
      </c>
      <c r="D35" s="8" t="str">
        <f>IFERROR(_xlfn.XLOOKUP(C35,index.html!C:C,index.html!D:D)," ")</f>
        <v xml:space="preserve"> </v>
      </c>
      <c r="E35" s="9" t="s">
        <v>646</v>
      </c>
      <c r="F35" s="9"/>
    </row>
    <row r="36" spans="1:6" ht="33">
      <c r="A36" s="8">
        <v>430</v>
      </c>
      <c r="B36" s="8" t="s">
        <v>647</v>
      </c>
      <c r="C36" s="8" t="s">
        <v>648</v>
      </c>
      <c r="D36" s="8" t="str">
        <f>IFERROR(_xlfn.XLOOKUP(C36,index.html!C:C,index.html!D:D)," ")</f>
        <v xml:space="preserve"> </v>
      </c>
      <c r="E36" s="8" t="s">
        <v>649</v>
      </c>
      <c r="F36" s="8"/>
    </row>
    <row r="37" spans="1:6" ht="33">
      <c r="A37" s="9">
        <v>443</v>
      </c>
      <c r="B37" s="9" t="s">
        <v>650</v>
      </c>
      <c r="C37" s="9" t="s">
        <v>651</v>
      </c>
      <c r="D37" s="8" t="str">
        <f>IFERROR(_xlfn.XLOOKUP(C37,index.html!C:C,index.html!D:D)," ")</f>
        <v xml:space="preserve"> </v>
      </c>
      <c r="E37" s="9" t="s">
        <v>652</v>
      </c>
      <c r="F37" s="9"/>
    </row>
    <row r="38" spans="1:6" ht="33">
      <c r="A38" s="8">
        <v>462</v>
      </c>
      <c r="B38" s="8" t="s">
        <v>653</v>
      </c>
      <c r="C38" s="8" t="s">
        <v>654</v>
      </c>
      <c r="D38" s="8" t="str">
        <f>IFERROR(_xlfn.XLOOKUP(C38,index.html!C:C,index.html!D:D)," ")</f>
        <v xml:space="preserve"> </v>
      </c>
      <c r="E38" s="8" t="s">
        <v>655</v>
      </c>
      <c r="F38" s="8"/>
    </row>
    <row r="39" spans="1:6" ht="33">
      <c r="A39" s="9">
        <v>467</v>
      </c>
      <c r="B39" s="9" t="s">
        <v>653</v>
      </c>
      <c r="C39" s="9" t="s">
        <v>656</v>
      </c>
      <c r="D39" s="8" t="str">
        <f>IFERROR(_xlfn.XLOOKUP(C39,index.html!C:C,index.html!D:D)," ")</f>
        <v xml:space="preserve"> </v>
      </c>
      <c r="E39" s="9" t="s">
        <v>657</v>
      </c>
      <c r="F39" s="9"/>
    </row>
    <row r="40" spans="1:6" ht="33">
      <c r="A40" s="8">
        <v>472</v>
      </c>
      <c r="B40" s="8" t="s">
        <v>653</v>
      </c>
      <c r="C40" s="8" t="s">
        <v>658</v>
      </c>
      <c r="D40" s="8" t="str">
        <f>IFERROR(_xlfn.XLOOKUP(C40,index.html!C:C,index.html!D:D)," ")</f>
        <v xml:space="preserve"> </v>
      </c>
      <c r="E40" s="8" t="s">
        <v>659</v>
      </c>
      <c r="F40" s="8"/>
    </row>
    <row r="41" spans="1:6" ht="33">
      <c r="A41" s="9">
        <v>477</v>
      </c>
      <c r="B41" s="9" t="s">
        <v>653</v>
      </c>
      <c r="C41" s="9" t="s">
        <v>660</v>
      </c>
      <c r="D41" s="8" t="str">
        <f>IFERROR(_xlfn.XLOOKUP(C41,index.html!C:C,index.html!D:D)," ")</f>
        <v xml:space="preserve"> </v>
      </c>
      <c r="E41" s="9" t="s">
        <v>661</v>
      </c>
      <c r="F41" s="9"/>
    </row>
    <row r="42" spans="1:6" ht="16.5">
      <c r="A42" s="8">
        <v>485</v>
      </c>
      <c r="B42" s="8" t="s">
        <v>662</v>
      </c>
      <c r="C42" s="8" t="s">
        <v>663</v>
      </c>
      <c r="D42" s="8" t="str">
        <f>IFERROR(_xlfn.XLOOKUP(C42,index.html!C:C,index.html!D:D)," ")</f>
        <v xml:space="preserve"> </v>
      </c>
      <c r="E42" s="8" t="s">
        <v>664</v>
      </c>
      <c r="F42" s="8" t="s">
        <v>663</v>
      </c>
    </row>
    <row r="43" spans="1:6" ht="33">
      <c r="A43" s="9">
        <v>489</v>
      </c>
      <c r="B43" s="9" t="s">
        <v>665</v>
      </c>
      <c r="C43" s="9" t="s">
        <v>666</v>
      </c>
      <c r="D43" s="8" t="str">
        <f>IFERROR(_xlfn.XLOOKUP(C43,index.html!C:C,index.html!D:D)," ")</f>
        <v xml:space="preserve"> </v>
      </c>
      <c r="E43" s="9" t="s">
        <v>667</v>
      </c>
      <c r="F43" s="9" t="s">
        <v>668</v>
      </c>
    </row>
    <row r="44" spans="1:6" ht="33">
      <c r="A44" s="8">
        <v>490</v>
      </c>
      <c r="B44" s="8" t="s">
        <v>665</v>
      </c>
      <c r="C44" s="8" t="s">
        <v>669</v>
      </c>
      <c r="D44" s="8" t="str">
        <f>IFERROR(_xlfn.XLOOKUP(C44,index.html!C:C,index.html!D:D)," ")</f>
        <v xml:space="preserve"> </v>
      </c>
      <c r="E44" s="8" t="s">
        <v>670</v>
      </c>
      <c r="F44" s="8"/>
    </row>
    <row r="45" spans="1:6" ht="16.5">
      <c r="A45" s="9">
        <v>494</v>
      </c>
      <c r="B45" s="9" t="s">
        <v>665</v>
      </c>
      <c r="C45" s="9" t="s">
        <v>671</v>
      </c>
      <c r="D45" s="8" t="str">
        <f>IFERROR(_xlfn.XLOOKUP(C45,index.html!C:C,index.html!D:D)," ")</f>
        <v xml:space="preserve"> </v>
      </c>
      <c r="E45" s="9" t="s">
        <v>672</v>
      </c>
      <c r="F45" s="9"/>
    </row>
    <row r="46" spans="1:6" ht="33">
      <c r="A46" s="8">
        <v>495</v>
      </c>
      <c r="B46" s="8" t="s">
        <v>665</v>
      </c>
      <c r="C46" s="8" t="s">
        <v>673</v>
      </c>
      <c r="D46" s="8" t="str">
        <f>IFERROR(_xlfn.XLOOKUP(C46,index.html!C:C,index.html!D:D)," ")</f>
        <v xml:space="preserve"> </v>
      </c>
      <c r="E46" s="8" t="s">
        <v>674</v>
      </c>
      <c r="F46" s="8"/>
    </row>
    <row r="47" spans="1:6" ht="16.5">
      <c r="A47" s="9">
        <v>499</v>
      </c>
      <c r="B47" s="9" t="s">
        <v>665</v>
      </c>
      <c r="C47" s="9" t="s">
        <v>675</v>
      </c>
      <c r="D47" s="8" t="str">
        <f>IFERROR(_xlfn.XLOOKUP(C47,index.html!C:C,index.html!D:D)," ")</f>
        <v xml:space="preserve"> </v>
      </c>
      <c r="E47" s="9" t="s">
        <v>676</v>
      </c>
      <c r="F47" s="9" t="s">
        <v>677</v>
      </c>
    </row>
    <row r="48" spans="1:6" ht="33">
      <c r="A48" s="8">
        <v>500</v>
      </c>
      <c r="B48" s="8" t="s">
        <v>665</v>
      </c>
      <c r="C48" s="8" t="s">
        <v>678</v>
      </c>
      <c r="D48" s="8" t="str">
        <f>IFERROR(_xlfn.XLOOKUP(C48,index.html!C:C,index.html!D:D)," ")</f>
        <v xml:space="preserve"> </v>
      </c>
      <c r="E48" s="8" t="s">
        <v>679</v>
      </c>
      <c r="F48" s="8" t="s">
        <v>680</v>
      </c>
    </row>
    <row r="49" spans="1:6" ht="33">
      <c r="A49" s="9">
        <v>507</v>
      </c>
      <c r="B49" s="9" t="s">
        <v>426</v>
      </c>
      <c r="C49" s="9" t="s">
        <v>681</v>
      </c>
      <c r="D49" s="8" t="str">
        <f>IFERROR(_xlfn.XLOOKUP(C49,index.html!C:C,index.html!D:D)," ")</f>
        <v xml:space="preserve"> </v>
      </c>
      <c r="E49" s="9" t="s">
        <v>682</v>
      </c>
      <c r="F49" s="9"/>
    </row>
    <row r="50" spans="1:6" ht="66.75">
      <c r="A50" s="8">
        <v>513</v>
      </c>
      <c r="B50" s="8" t="s">
        <v>426</v>
      </c>
      <c r="C50" s="8" t="s">
        <v>683</v>
      </c>
      <c r="D50" s="8" t="s">
        <v>684</v>
      </c>
      <c r="E50" s="8" t="s">
        <v>685</v>
      </c>
      <c r="F50" s="8" t="s">
        <v>686</v>
      </c>
    </row>
    <row r="51" spans="1:6" ht="50.25">
      <c r="A51" s="9">
        <v>519</v>
      </c>
      <c r="B51" s="9" t="s">
        <v>426</v>
      </c>
      <c r="C51" s="9" t="s">
        <v>687</v>
      </c>
      <c r="D51" s="9" t="s">
        <v>687</v>
      </c>
      <c r="E51" s="9" t="s">
        <v>688</v>
      </c>
      <c r="F51" s="9" t="s">
        <v>689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/>
  </sheetPr>
  <dimension ref="A1:F121"/>
  <sheetViews>
    <sheetView topLeftCell="A108" workbookViewId="0">
      <selection activeCell="D121" sqref="D121"/>
    </sheetView>
  </sheetViews>
  <sheetFormatPr defaultRowHeight="15"/>
  <cols>
    <col min="1" max="1" width="26.7109375" bestFit="1" customWidth="1"/>
    <col min="2" max="2" width="29.140625" customWidth="1"/>
    <col min="3" max="3" width="45" customWidth="1"/>
    <col min="4" max="4" width="20" customWidth="1"/>
    <col min="5" max="5" width="45" customWidth="1"/>
    <col min="6" max="6" width="20" customWidth="1"/>
  </cols>
  <sheetData>
    <row r="1" spans="1:6">
      <c r="A1" s="26" t="s">
        <v>1</v>
      </c>
      <c r="B1" s="27" t="s">
        <v>42</v>
      </c>
    </row>
    <row r="2" spans="1:6">
      <c r="A2" s="24" t="s">
        <v>43</v>
      </c>
      <c r="B2" s="25" t="s">
        <v>22</v>
      </c>
    </row>
    <row r="3" spans="1:6">
      <c r="A3" s="24" t="s">
        <v>44</v>
      </c>
      <c r="B3" s="25" t="s">
        <v>690</v>
      </c>
    </row>
    <row r="4" spans="1:6">
      <c r="A4" s="24" t="s">
        <v>46</v>
      </c>
      <c r="B4" s="25" t="s">
        <v>691</v>
      </c>
    </row>
    <row r="5" spans="1:6">
      <c r="A5" s="24" t="s">
        <v>49</v>
      </c>
      <c r="B5" s="25" t="s">
        <v>50</v>
      </c>
    </row>
    <row r="6" spans="1:6">
      <c r="A6" s="24" t="s">
        <v>7</v>
      </c>
      <c r="B6" s="25" t="s">
        <v>8</v>
      </c>
    </row>
    <row r="7" spans="1:6">
      <c r="A7" s="24" t="s">
        <v>51</v>
      </c>
      <c r="B7" s="25" t="s">
        <v>692</v>
      </c>
    </row>
    <row r="8" spans="1:6">
      <c r="A8" s="24" t="s">
        <v>52</v>
      </c>
      <c r="B8" s="25" t="s">
        <v>692</v>
      </c>
    </row>
    <row r="9" spans="1:6">
      <c r="A9" s="24" t="s">
        <v>54</v>
      </c>
      <c r="B9" s="25" t="s">
        <v>14</v>
      </c>
    </row>
    <row r="10" spans="1:6">
      <c r="A10" s="28" t="s">
        <v>56</v>
      </c>
      <c r="B10" s="29" t="s">
        <v>4</v>
      </c>
    </row>
    <row r="13" spans="1:6" ht="18.75">
      <c r="A13" s="3" t="s">
        <v>57</v>
      </c>
    </row>
    <row r="15" spans="1:6">
      <c r="A15" s="7" t="s">
        <v>58</v>
      </c>
      <c r="B15" s="7" t="s">
        <v>59</v>
      </c>
      <c r="C15" s="7" t="s">
        <v>60</v>
      </c>
      <c r="D15" s="7" t="s">
        <v>61</v>
      </c>
      <c r="E15" s="7" t="s">
        <v>62</v>
      </c>
      <c r="F15" s="7" t="s">
        <v>63</v>
      </c>
    </row>
    <row r="16" spans="1:6" ht="16.5">
      <c r="A16" s="8">
        <v>287</v>
      </c>
      <c r="B16" s="8" t="s">
        <v>64</v>
      </c>
      <c r="C16" s="8" t="s">
        <v>65</v>
      </c>
      <c r="D16" s="8" t="s">
        <v>65</v>
      </c>
      <c r="E16" s="8" t="s">
        <v>65</v>
      </c>
      <c r="F16" s="8" t="s">
        <v>65</v>
      </c>
    </row>
    <row r="17" spans="1:6" ht="16.5">
      <c r="A17" s="9">
        <v>288</v>
      </c>
      <c r="B17" s="9" t="s">
        <v>64</v>
      </c>
      <c r="C17" s="9" t="s">
        <v>66</v>
      </c>
      <c r="D17" s="9" t="s">
        <v>66</v>
      </c>
      <c r="E17" s="9" t="s">
        <v>66</v>
      </c>
      <c r="F17" s="9" t="s">
        <v>66</v>
      </c>
    </row>
    <row r="18" spans="1:6" ht="16.5">
      <c r="A18" s="8">
        <v>310</v>
      </c>
      <c r="B18" s="8" t="s">
        <v>67</v>
      </c>
      <c r="C18" s="8" t="s">
        <v>436</v>
      </c>
      <c r="D18" s="8" t="s">
        <v>437</v>
      </c>
      <c r="E18" s="8" t="s">
        <v>437</v>
      </c>
      <c r="F18" s="8" t="s">
        <v>437</v>
      </c>
    </row>
    <row r="19" spans="1:6" ht="16.5">
      <c r="A19" s="9">
        <v>311</v>
      </c>
      <c r="B19" s="9" t="s">
        <v>67</v>
      </c>
      <c r="C19" s="9" t="s">
        <v>354</v>
      </c>
      <c r="D19" s="8" t="s">
        <v>438</v>
      </c>
      <c r="E19" s="9" t="s">
        <v>438</v>
      </c>
      <c r="F19" s="9" t="s">
        <v>438</v>
      </c>
    </row>
    <row r="20" spans="1:6" ht="16.5">
      <c r="A20" s="8">
        <v>312</v>
      </c>
      <c r="B20" s="8" t="s">
        <v>67</v>
      </c>
      <c r="C20" s="8" t="s">
        <v>344</v>
      </c>
      <c r="D20" s="8" t="s">
        <v>693</v>
      </c>
      <c r="E20" s="8" t="s">
        <v>72</v>
      </c>
      <c r="F20" s="8" t="s">
        <v>72</v>
      </c>
    </row>
    <row r="21" spans="1:6" ht="16.5">
      <c r="A21" s="9">
        <v>313</v>
      </c>
      <c r="B21" s="9" t="s">
        <v>67</v>
      </c>
      <c r="C21" s="9" t="s">
        <v>439</v>
      </c>
      <c r="D21" s="8" t="s">
        <v>161</v>
      </c>
      <c r="E21" s="9" t="s">
        <v>161</v>
      </c>
      <c r="F21" s="9" t="s">
        <v>161</v>
      </c>
    </row>
    <row r="22" spans="1:6" ht="16.5">
      <c r="A22" s="8">
        <v>316</v>
      </c>
      <c r="B22" s="8" t="s">
        <v>67</v>
      </c>
      <c r="C22" s="8" t="s">
        <v>440</v>
      </c>
      <c r="D22" s="8" t="s">
        <v>694</v>
      </c>
      <c r="E22" s="8" t="s">
        <v>441</v>
      </c>
      <c r="F22" s="8" t="s">
        <v>441</v>
      </c>
    </row>
    <row r="23" spans="1:6" ht="16.5">
      <c r="A23" s="9">
        <v>317</v>
      </c>
      <c r="B23" s="9" t="s">
        <v>67</v>
      </c>
      <c r="C23" s="9" t="s">
        <v>79</v>
      </c>
      <c r="D23" s="8" t="s">
        <v>80</v>
      </c>
      <c r="E23" s="9" t="s">
        <v>80</v>
      </c>
      <c r="F23" s="9" t="s">
        <v>80</v>
      </c>
    </row>
    <row r="24" spans="1:6" ht="16.5">
      <c r="A24" s="8">
        <v>336</v>
      </c>
      <c r="B24" s="8" t="s">
        <v>442</v>
      </c>
      <c r="C24" s="8" t="s">
        <v>443</v>
      </c>
      <c r="D24" s="8" t="s">
        <v>443</v>
      </c>
      <c r="E24" s="8" t="s">
        <v>444</v>
      </c>
      <c r="F24" s="8" t="s">
        <v>444</v>
      </c>
    </row>
    <row r="25" spans="1:6" ht="50.25">
      <c r="A25" s="9">
        <v>355</v>
      </c>
      <c r="B25" s="9" t="s">
        <v>445</v>
      </c>
      <c r="C25" s="9" t="s">
        <v>695</v>
      </c>
      <c r="D25" s="9" t="s">
        <v>696</v>
      </c>
      <c r="E25" s="9" t="s">
        <v>697</v>
      </c>
      <c r="F25" s="9" t="s">
        <v>696</v>
      </c>
    </row>
    <row r="26" spans="1:6" ht="166.5">
      <c r="A26" s="8">
        <v>358</v>
      </c>
      <c r="B26" s="8" t="s">
        <v>449</v>
      </c>
      <c r="C26" s="8" t="s">
        <v>698</v>
      </c>
      <c r="D26" s="8" t="s">
        <v>699</v>
      </c>
      <c r="E26" s="8" t="s">
        <v>700</v>
      </c>
      <c r="F26" s="8" t="s">
        <v>699</v>
      </c>
    </row>
    <row r="27" spans="1:6" ht="16.5">
      <c r="A27" s="9">
        <v>363</v>
      </c>
      <c r="B27" s="9" t="s">
        <v>93</v>
      </c>
      <c r="C27" s="9" t="s">
        <v>701</v>
      </c>
      <c r="D27" s="8" t="s">
        <v>702</v>
      </c>
      <c r="E27" s="9" t="s">
        <v>96</v>
      </c>
      <c r="F27" s="9" t="s">
        <v>702</v>
      </c>
    </row>
    <row r="28" spans="1:6" ht="16.5">
      <c r="A28" s="8">
        <v>364</v>
      </c>
      <c r="B28" s="8" t="s">
        <v>93</v>
      </c>
      <c r="C28" s="8" t="s">
        <v>703</v>
      </c>
      <c r="D28" s="8" t="s">
        <v>704</v>
      </c>
      <c r="E28" s="8" t="s">
        <v>705</v>
      </c>
      <c r="F28" s="8" t="s">
        <v>704</v>
      </c>
    </row>
    <row r="29" spans="1:6" ht="16.5">
      <c r="A29" s="9">
        <v>368</v>
      </c>
      <c r="B29" s="9" t="s">
        <v>372</v>
      </c>
      <c r="C29" s="9" t="s">
        <v>706</v>
      </c>
      <c r="D29" s="9" t="s">
        <v>707</v>
      </c>
      <c r="E29" s="9" t="s">
        <v>707</v>
      </c>
      <c r="F29" s="9" t="s">
        <v>707</v>
      </c>
    </row>
    <row r="30" spans="1:6" ht="16.5">
      <c r="A30" s="8">
        <v>369</v>
      </c>
      <c r="B30" s="8" t="s">
        <v>372</v>
      </c>
      <c r="C30" s="8" t="s">
        <v>708</v>
      </c>
      <c r="D30" s="8" t="s">
        <v>709</v>
      </c>
      <c r="E30" s="8" t="s">
        <v>709</v>
      </c>
      <c r="F30" s="8" t="s">
        <v>709</v>
      </c>
    </row>
    <row r="31" spans="1:6" ht="16.5">
      <c r="A31" s="9">
        <v>372</v>
      </c>
      <c r="B31" s="9" t="s">
        <v>372</v>
      </c>
      <c r="C31" s="9" t="s">
        <v>710</v>
      </c>
      <c r="D31" s="9" t="s">
        <v>711</v>
      </c>
      <c r="E31" s="9" t="s">
        <v>712</v>
      </c>
      <c r="F31" s="9" t="s">
        <v>711</v>
      </c>
    </row>
    <row r="32" spans="1:6" ht="16.5">
      <c r="A32" s="8">
        <v>373</v>
      </c>
      <c r="B32" s="8" t="s">
        <v>372</v>
      </c>
      <c r="C32" s="8" t="s">
        <v>713</v>
      </c>
      <c r="D32" s="8" t="s">
        <v>299</v>
      </c>
      <c r="E32" s="8" t="s">
        <v>299</v>
      </c>
      <c r="F32" s="8" t="s">
        <v>299</v>
      </c>
    </row>
    <row r="33" spans="1:6" ht="16.5">
      <c r="A33" s="9">
        <v>374</v>
      </c>
      <c r="B33" s="9" t="s">
        <v>372</v>
      </c>
      <c r="C33" s="9" t="s">
        <v>714</v>
      </c>
      <c r="D33" s="9" t="s">
        <v>715</v>
      </c>
      <c r="E33" s="9" t="s">
        <v>715</v>
      </c>
      <c r="F33" s="9" t="s">
        <v>715</v>
      </c>
    </row>
    <row r="34" spans="1:6" ht="16.5">
      <c r="A34" s="8">
        <v>375</v>
      </c>
      <c r="B34" s="8" t="s">
        <v>372</v>
      </c>
      <c r="C34" s="8" t="s">
        <v>716</v>
      </c>
      <c r="D34" s="8" t="s">
        <v>717</v>
      </c>
      <c r="E34" s="8" t="s">
        <v>718</v>
      </c>
      <c r="F34" s="8" t="s">
        <v>717</v>
      </c>
    </row>
    <row r="35" spans="1:6" ht="16.5">
      <c r="A35" s="9">
        <v>376</v>
      </c>
      <c r="B35" s="9" t="s">
        <v>372</v>
      </c>
      <c r="C35" s="9" t="s">
        <v>719</v>
      </c>
      <c r="D35" s="9" t="s">
        <v>720</v>
      </c>
      <c r="E35" s="9" t="s">
        <v>720</v>
      </c>
      <c r="F35" s="9" t="s">
        <v>720</v>
      </c>
    </row>
    <row r="36" spans="1:6" ht="50.25">
      <c r="A36" s="8">
        <v>383</v>
      </c>
      <c r="B36" s="8" t="s">
        <v>721</v>
      </c>
      <c r="C36" s="8" t="s">
        <v>722</v>
      </c>
      <c r="D36" s="8" t="s">
        <v>723</v>
      </c>
      <c r="E36" s="8" t="s">
        <v>724</v>
      </c>
      <c r="F36" s="8" t="s">
        <v>723</v>
      </c>
    </row>
    <row r="37" spans="1:6" ht="30.75">
      <c r="A37" s="9">
        <v>387</v>
      </c>
      <c r="B37" s="9" t="s">
        <v>725</v>
      </c>
      <c r="C37" s="9" t="s">
        <v>726</v>
      </c>
      <c r="D37" s="55" t="s">
        <v>727</v>
      </c>
      <c r="E37" s="9" t="s">
        <v>728</v>
      </c>
      <c r="F37" s="55" t="s">
        <v>727</v>
      </c>
    </row>
    <row r="38" spans="1:6" ht="84">
      <c r="A38" s="8">
        <v>389</v>
      </c>
      <c r="B38" s="8" t="s">
        <v>725</v>
      </c>
      <c r="C38" s="8" t="s">
        <v>729</v>
      </c>
      <c r="D38" s="55" t="s">
        <v>730</v>
      </c>
      <c r="E38" s="8" t="s">
        <v>731</v>
      </c>
      <c r="F38" s="55" t="s">
        <v>730</v>
      </c>
    </row>
    <row r="39" spans="1:6" ht="16.5">
      <c r="A39" s="9">
        <v>394</v>
      </c>
      <c r="B39" s="9" t="s">
        <v>725</v>
      </c>
      <c r="C39" s="9" t="s">
        <v>732</v>
      </c>
      <c r="D39" s="56" t="s">
        <v>733</v>
      </c>
      <c r="E39" s="9" t="s">
        <v>734</v>
      </c>
      <c r="F39" s="56" t="s">
        <v>733</v>
      </c>
    </row>
    <row r="40" spans="1:6" ht="16.5">
      <c r="A40" s="8">
        <v>396</v>
      </c>
      <c r="B40" s="8" t="s">
        <v>735</v>
      </c>
      <c r="C40" s="8" t="s">
        <v>736</v>
      </c>
      <c r="D40" s="55" t="s">
        <v>737</v>
      </c>
      <c r="E40" s="8" t="s">
        <v>738</v>
      </c>
      <c r="F40" s="55" t="s">
        <v>737</v>
      </c>
    </row>
    <row r="41" spans="1:6" ht="16.5">
      <c r="A41" s="9">
        <v>396</v>
      </c>
      <c r="B41" s="9" t="s">
        <v>735</v>
      </c>
      <c r="C41" s="9" t="s">
        <v>739</v>
      </c>
      <c r="D41" s="55" t="s">
        <v>740</v>
      </c>
      <c r="E41" s="9" t="s">
        <v>741</v>
      </c>
      <c r="F41" s="55" t="s">
        <v>740</v>
      </c>
    </row>
    <row r="42" spans="1:6" ht="16.5">
      <c r="A42" s="8">
        <v>397</v>
      </c>
      <c r="B42" s="8" t="s">
        <v>735</v>
      </c>
      <c r="C42" s="8" t="s">
        <v>742</v>
      </c>
      <c r="D42" s="55" t="s">
        <v>743</v>
      </c>
      <c r="E42" s="8" t="s">
        <v>744</v>
      </c>
      <c r="F42" s="55" t="s">
        <v>743</v>
      </c>
    </row>
    <row r="43" spans="1:6" ht="16.5">
      <c r="A43" s="9">
        <v>398</v>
      </c>
      <c r="B43" s="9" t="s">
        <v>735</v>
      </c>
      <c r="C43" s="9" t="s">
        <v>745</v>
      </c>
      <c r="D43" s="55" t="s">
        <v>746</v>
      </c>
      <c r="E43" s="9" t="s">
        <v>747</v>
      </c>
      <c r="F43" s="56" t="s">
        <v>748</v>
      </c>
    </row>
    <row r="44" spans="1:6" ht="16.5">
      <c r="A44" s="8">
        <v>399</v>
      </c>
      <c r="B44" s="8" t="s">
        <v>735</v>
      </c>
      <c r="C44" s="8" t="s">
        <v>749</v>
      </c>
      <c r="D44" s="55" t="s">
        <v>750</v>
      </c>
      <c r="E44" s="8" t="s">
        <v>751</v>
      </c>
      <c r="F44" s="55" t="s">
        <v>752</v>
      </c>
    </row>
    <row r="45" spans="1:6" ht="16.5">
      <c r="A45" s="9">
        <v>402</v>
      </c>
      <c r="B45" s="9" t="s">
        <v>753</v>
      </c>
      <c r="C45" s="9" t="s">
        <v>754</v>
      </c>
      <c r="D45" s="55" t="s">
        <v>755</v>
      </c>
      <c r="E45" s="9" t="s">
        <v>756</v>
      </c>
      <c r="F45" s="56" t="s">
        <v>755</v>
      </c>
    </row>
    <row r="46" spans="1:6" ht="33.75">
      <c r="A46" s="8">
        <v>406</v>
      </c>
      <c r="B46" s="8" t="s">
        <v>725</v>
      </c>
      <c r="C46" s="8" t="s">
        <v>757</v>
      </c>
      <c r="D46" s="55" t="s">
        <v>758</v>
      </c>
      <c r="E46" s="8" t="s">
        <v>759</v>
      </c>
      <c r="F46" s="55" t="s">
        <v>758</v>
      </c>
    </row>
    <row r="47" spans="1:6" ht="100.5">
      <c r="A47" s="9">
        <v>408</v>
      </c>
      <c r="B47" s="9" t="s">
        <v>725</v>
      </c>
      <c r="C47" s="9" t="s">
        <v>760</v>
      </c>
      <c r="D47" s="55" t="s">
        <v>761</v>
      </c>
      <c r="E47" s="9" t="s">
        <v>762</v>
      </c>
      <c r="F47" s="56" t="s">
        <v>761</v>
      </c>
    </row>
    <row r="48" spans="1:6" ht="33.75">
      <c r="A48" s="8">
        <v>416</v>
      </c>
      <c r="B48" s="8" t="s">
        <v>763</v>
      </c>
      <c r="C48" s="8" t="s">
        <v>764</v>
      </c>
      <c r="D48" s="55" t="s">
        <v>765</v>
      </c>
      <c r="E48" s="8" t="s">
        <v>766</v>
      </c>
      <c r="F48" s="55" t="s">
        <v>765</v>
      </c>
    </row>
    <row r="49" spans="1:6" ht="16.5">
      <c r="A49" s="9">
        <v>420</v>
      </c>
      <c r="B49" s="9" t="s">
        <v>767</v>
      </c>
      <c r="C49" s="9" t="s">
        <v>768</v>
      </c>
      <c r="D49" s="55" t="s">
        <v>769</v>
      </c>
      <c r="E49" s="9" t="s">
        <v>770</v>
      </c>
      <c r="F49" s="56" t="s">
        <v>769</v>
      </c>
    </row>
    <row r="50" spans="1:6" ht="48">
      <c r="A50" s="8">
        <v>422</v>
      </c>
      <c r="B50" s="8" t="s">
        <v>771</v>
      </c>
      <c r="C50" s="8" t="s">
        <v>772</v>
      </c>
      <c r="D50" s="55" t="s">
        <v>773</v>
      </c>
      <c r="E50" s="8" t="s">
        <v>774</v>
      </c>
      <c r="F50" s="55" t="s">
        <v>773</v>
      </c>
    </row>
    <row r="51" spans="1:6" ht="48">
      <c r="A51" s="9">
        <v>423</v>
      </c>
      <c r="B51" s="9" t="s">
        <v>771</v>
      </c>
      <c r="C51" s="9" t="s">
        <v>775</v>
      </c>
      <c r="D51" s="55" t="s">
        <v>776</v>
      </c>
      <c r="E51" s="9" t="s">
        <v>777</v>
      </c>
      <c r="F51" s="56" t="s">
        <v>776</v>
      </c>
    </row>
    <row r="52" spans="1:6" ht="33.75">
      <c r="A52" s="8">
        <v>424</v>
      </c>
      <c r="B52" s="8" t="s">
        <v>771</v>
      </c>
      <c r="C52" s="8" t="s">
        <v>778</v>
      </c>
      <c r="D52" s="55" t="s">
        <v>779</v>
      </c>
      <c r="E52" s="8" t="s">
        <v>780</v>
      </c>
      <c r="F52" s="55" t="s">
        <v>779</v>
      </c>
    </row>
    <row r="53" spans="1:6" ht="16.5">
      <c r="A53" s="9">
        <v>428</v>
      </c>
      <c r="B53" s="9" t="s">
        <v>767</v>
      </c>
      <c r="C53" s="9" t="s">
        <v>781</v>
      </c>
      <c r="D53" s="56" t="s">
        <v>782</v>
      </c>
      <c r="E53" s="9" t="s">
        <v>782</v>
      </c>
      <c r="F53" s="56" t="s">
        <v>782</v>
      </c>
    </row>
    <row r="54" spans="1:6" ht="49.5">
      <c r="A54" s="8">
        <v>430</v>
      </c>
      <c r="B54" s="8" t="s">
        <v>783</v>
      </c>
      <c r="C54" s="8" t="s">
        <v>784</v>
      </c>
      <c r="D54" s="55" t="s">
        <v>785</v>
      </c>
      <c r="E54" s="8" t="s">
        <v>786</v>
      </c>
      <c r="F54" s="55" t="s">
        <v>785</v>
      </c>
    </row>
    <row r="55" spans="1:6" ht="33.75">
      <c r="A55" s="9">
        <v>431</v>
      </c>
      <c r="B55" s="9" t="s">
        <v>783</v>
      </c>
      <c r="C55" s="9" t="s">
        <v>787</v>
      </c>
      <c r="D55" s="55" t="s">
        <v>788</v>
      </c>
      <c r="E55" s="9" t="s">
        <v>789</v>
      </c>
      <c r="F55" s="56" t="s">
        <v>788</v>
      </c>
    </row>
    <row r="56" spans="1:6" ht="64.5">
      <c r="A56" s="8">
        <v>432</v>
      </c>
      <c r="B56" s="8" t="s">
        <v>783</v>
      </c>
      <c r="C56" s="8" t="s">
        <v>790</v>
      </c>
      <c r="D56" s="55" t="s">
        <v>791</v>
      </c>
      <c r="E56" s="8" t="s">
        <v>792</v>
      </c>
      <c r="F56" s="55" t="s">
        <v>791</v>
      </c>
    </row>
    <row r="57" spans="1:6" ht="33.75">
      <c r="A57" s="9">
        <v>440</v>
      </c>
      <c r="B57" s="9" t="s">
        <v>793</v>
      </c>
      <c r="C57" s="9" t="s">
        <v>794</v>
      </c>
      <c r="D57" s="55" t="s">
        <v>795</v>
      </c>
      <c r="E57" s="9" t="s">
        <v>796</v>
      </c>
      <c r="F57" s="55" t="s">
        <v>795</v>
      </c>
    </row>
    <row r="58" spans="1:6" ht="50.25">
      <c r="A58" s="8">
        <v>443</v>
      </c>
      <c r="B58" s="8" t="s">
        <v>797</v>
      </c>
      <c r="C58" s="8" t="s">
        <v>798</v>
      </c>
      <c r="D58" s="55" t="s">
        <v>799</v>
      </c>
      <c r="E58" s="8" t="s">
        <v>800</v>
      </c>
      <c r="F58" s="55" t="s">
        <v>799</v>
      </c>
    </row>
    <row r="59" spans="1:6" ht="16.5">
      <c r="A59" s="9">
        <v>447</v>
      </c>
      <c r="B59" s="9" t="s">
        <v>801</v>
      </c>
      <c r="C59" s="9" t="s">
        <v>802</v>
      </c>
      <c r="D59" s="55" t="s">
        <v>803</v>
      </c>
      <c r="E59" s="9" t="s">
        <v>804</v>
      </c>
      <c r="F59" s="56" t="s">
        <v>803</v>
      </c>
    </row>
    <row r="60" spans="1:6" ht="16.5">
      <c r="A60" s="8">
        <v>449</v>
      </c>
      <c r="B60" s="8" t="s">
        <v>805</v>
      </c>
      <c r="C60" s="8" t="s">
        <v>806</v>
      </c>
      <c r="D60" s="55" t="s">
        <v>807</v>
      </c>
      <c r="E60" s="8" t="s">
        <v>808</v>
      </c>
      <c r="F60" s="55" t="s">
        <v>807</v>
      </c>
    </row>
    <row r="61" spans="1:6" ht="16.5">
      <c r="A61" s="9">
        <v>450</v>
      </c>
      <c r="B61" s="9" t="s">
        <v>805</v>
      </c>
      <c r="C61" s="9" t="s">
        <v>809</v>
      </c>
      <c r="D61" s="56" t="s">
        <v>810</v>
      </c>
      <c r="E61" s="9" t="s">
        <v>810</v>
      </c>
      <c r="F61" s="56" t="s">
        <v>810</v>
      </c>
    </row>
    <row r="62" spans="1:6" ht="50.25">
      <c r="A62" s="8">
        <v>451</v>
      </c>
      <c r="B62" s="8" t="s">
        <v>805</v>
      </c>
      <c r="C62" s="8" t="s">
        <v>811</v>
      </c>
      <c r="D62" s="55" t="s">
        <v>812</v>
      </c>
      <c r="E62" s="8" t="s">
        <v>812</v>
      </c>
      <c r="F62" s="55" t="s">
        <v>812</v>
      </c>
    </row>
    <row r="63" spans="1:6" ht="33.75">
      <c r="A63" s="9">
        <v>452</v>
      </c>
      <c r="B63" s="9" t="s">
        <v>805</v>
      </c>
      <c r="C63" s="9" t="s">
        <v>813</v>
      </c>
      <c r="D63" s="55" t="s">
        <v>814</v>
      </c>
      <c r="E63" s="9" t="s">
        <v>815</v>
      </c>
      <c r="F63" s="55" t="s">
        <v>814</v>
      </c>
    </row>
    <row r="64" spans="1:6" ht="33.75">
      <c r="A64" s="8">
        <v>456</v>
      </c>
      <c r="B64" s="8" t="s">
        <v>801</v>
      </c>
      <c r="C64" s="8" t="s">
        <v>816</v>
      </c>
      <c r="D64" s="55" t="s">
        <v>817</v>
      </c>
      <c r="E64" s="8" t="s">
        <v>818</v>
      </c>
      <c r="F64" s="55" t="s">
        <v>819</v>
      </c>
    </row>
    <row r="65" spans="1:6" ht="16.5">
      <c r="A65" s="9">
        <v>458</v>
      </c>
      <c r="B65" s="9" t="s">
        <v>820</v>
      </c>
      <c r="C65" s="9" t="s">
        <v>821</v>
      </c>
      <c r="D65" s="56" t="s">
        <v>822</v>
      </c>
      <c r="E65" s="9" t="s">
        <v>822</v>
      </c>
      <c r="F65" s="56" t="s">
        <v>822</v>
      </c>
    </row>
    <row r="66" spans="1:6" ht="16.5">
      <c r="A66" s="8">
        <v>458</v>
      </c>
      <c r="B66" s="8" t="s">
        <v>820</v>
      </c>
      <c r="C66" s="8" t="s">
        <v>823</v>
      </c>
      <c r="D66" s="55" t="s">
        <v>824</v>
      </c>
      <c r="E66" s="8" t="s">
        <v>824</v>
      </c>
      <c r="F66" s="55" t="s">
        <v>824</v>
      </c>
    </row>
    <row r="67" spans="1:6" ht="16.5">
      <c r="A67" s="9">
        <v>458</v>
      </c>
      <c r="B67" s="9" t="s">
        <v>820</v>
      </c>
      <c r="C67" s="9" t="s">
        <v>825</v>
      </c>
      <c r="D67" s="56" t="s">
        <v>826</v>
      </c>
      <c r="E67" s="9" t="s">
        <v>826</v>
      </c>
      <c r="F67" s="56" t="s">
        <v>826</v>
      </c>
    </row>
    <row r="68" spans="1:6" ht="33.75">
      <c r="A68" s="8">
        <v>459</v>
      </c>
      <c r="B68" s="8" t="s">
        <v>820</v>
      </c>
      <c r="C68" s="8" t="s">
        <v>827</v>
      </c>
      <c r="D68" s="55" t="s">
        <v>828</v>
      </c>
      <c r="E68" s="8" t="s">
        <v>829</v>
      </c>
      <c r="F68" s="55" t="s">
        <v>828</v>
      </c>
    </row>
    <row r="69" spans="1:6" ht="33.75">
      <c r="A69" s="9">
        <v>460</v>
      </c>
      <c r="B69" s="9" t="s">
        <v>820</v>
      </c>
      <c r="C69" s="9" t="s">
        <v>830</v>
      </c>
      <c r="D69" s="55" t="s">
        <v>831</v>
      </c>
      <c r="E69" s="9" t="s">
        <v>832</v>
      </c>
      <c r="F69" s="55" t="s">
        <v>831</v>
      </c>
    </row>
    <row r="70" spans="1:6" ht="33.75">
      <c r="A70" s="8">
        <v>461</v>
      </c>
      <c r="B70" s="8" t="s">
        <v>820</v>
      </c>
      <c r="C70" s="8" t="s">
        <v>833</v>
      </c>
      <c r="D70" s="55" t="s">
        <v>834</v>
      </c>
      <c r="E70" s="8" t="s">
        <v>835</v>
      </c>
      <c r="F70" s="55" t="s">
        <v>834</v>
      </c>
    </row>
    <row r="71" spans="1:6" ht="33.75">
      <c r="A71" s="9">
        <v>462</v>
      </c>
      <c r="B71" s="9" t="s">
        <v>820</v>
      </c>
      <c r="C71" s="9" t="s">
        <v>836</v>
      </c>
      <c r="D71" s="55" t="s">
        <v>837</v>
      </c>
      <c r="E71" s="9" t="s">
        <v>838</v>
      </c>
      <c r="F71" s="56" t="s">
        <v>837</v>
      </c>
    </row>
    <row r="72" spans="1:6" ht="33.75">
      <c r="A72" s="8">
        <v>466</v>
      </c>
      <c r="B72" s="8" t="s">
        <v>801</v>
      </c>
      <c r="C72" s="8" t="s">
        <v>839</v>
      </c>
      <c r="D72" s="55" t="s">
        <v>840</v>
      </c>
      <c r="E72" s="8" t="s">
        <v>841</v>
      </c>
      <c r="F72" s="55" t="s">
        <v>842</v>
      </c>
    </row>
    <row r="73" spans="1:6" ht="16.5">
      <c r="A73" s="9">
        <v>468</v>
      </c>
      <c r="B73" s="9" t="s">
        <v>820</v>
      </c>
      <c r="C73" s="9" t="s">
        <v>821</v>
      </c>
      <c r="D73" s="56" t="s">
        <v>822</v>
      </c>
      <c r="E73" s="9" t="s">
        <v>822</v>
      </c>
      <c r="F73" s="56" t="s">
        <v>822</v>
      </c>
    </row>
    <row r="74" spans="1:6" ht="16.5">
      <c r="A74" s="8">
        <v>468</v>
      </c>
      <c r="B74" s="8" t="s">
        <v>820</v>
      </c>
      <c r="C74" s="8" t="s">
        <v>843</v>
      </c>
      <c r="D74" s="55" t="s">
        <v>844</v>
      </c>
      <c r="E74" s="8" t="s">
        <v>844</v>
      </c>
      <c r="F74" s="55" t="s">
        <v>844</v>
      </c>
    </row>
    <row r="75" spans="1:6" ht="16.5">
      <c r="A75" s="9">
        <v>470</v>
      </c>
      <c r="B75" s="9" t="s">
        <v>820</v>
      </c>
      <c r="C75" s="9" t="s">
        <v>845</v>
      </c>
      <c r="D75" s="56" t="s">
        <v>846</v>
      </c>
      <c r="E75" s="9" t="s">
        <v>846</v>
      </c>
      <c r="F75" s="56" t="s">
        <v>846</v>
      </c>
    </row>
    <row r="76" spans="1:6" ht="16.5">
      <c r="A76" s="8">
        <v>470</v>
      </c>
      <c r="B76" s="8" t="s">
        <v>820</v>
      </c>
      <c r="C76" s="8" t="s">
        <v>847</v>
      </c>
      <c r="D76" s="55" t="s">
        <v>848</v>
      </c>
      <c r="E76" s="8" t="s">
        <v>849</v>
      </c>
      <c r="F76" s="55" t="s">
        <v>848</v>
      </c>
    </row>
    <row r="77" spans="1:6" ht="33.75">
      <c r="A77" s="9">
        <v>473</v>
      </c>
      <c r="B77" s="9" t="s">
        <v>650</v>
      </c>
      <c r="C77" s="9" t="s">
        <v>850</v>
      </c>
      <c r="D77" s="55" t="s">
        <v>851</v>
      </c>
      <c r="E77" s="9" t="s">
        <v>852</v>
      </c>
      <c r="F77" s="56" t="s">
        <v>851</v>
      </c>
    </row>
    <row r="78" spans="1:6" ht="16.5">
      <c r="A78" s="8">
        <v>478</v>
      </c>
      <c r="B78" s="8" t="s">
        <v>853</v>
      </c>
      <c r="C78" s="8" t="s">
        <v>854</v>
      </c>
      <c r="D78" s="55" t="s">
        <v>855</v>
      </c>
      <c r="E78" s="8" t="s">
        <v>856</v>
      </c>
      <c r="F78" s="55" t="s">
        <v>855</v>
      </c>
    </row>
    <row r="79" spans="1:6" ht="84">
      <c r="A79" s="9">
        <v>479</v>
      </c>
      <c r="B79" s="9" t="s">
        <v>853</v>
      </c>
      <c r="C79" s="9" t="s">
        <v>857</v>
      </c>
      <c r="D79" s="55" t="s">
        <v>858</v>
      </c>
      <c r="E79" s="9" t="s">
        <v>859</v>
      </c>
      <c r="F79" s="55" t="s">
        <v>858</v>
      </c>
    </row>
    <row r="80" spans="1:6" ht="33.75">
      <c r="A80" s="8">
        <v>487</v>
      </c>
      <c r="B80" s="8" t="s">
        <v>860</v>
      </c>
      <c r="C80" s="8" t="s">
        <v>861</v>
      </c>
      <c r="D80" s="55" t="s">
        <v>862</v>
      </c>
      <c r="E80" s="8" t="s">
        <v>863</v>
      </c>
      <c r="F80" s="55" t="s">
        <v>862</v>
      </c>
    </row>
    <row r="81" spans="1:6" ht="16.5">
      <c r="A81" s="9">
        <v>491</v>
      </c>
      <c r="B81" s="9" t="s">
        <v>864</v>
      </c>
      <c r="C81" s="9" t="s">
        <v>865</v>
      </c>
      <c r="D81" s="56" t="s">
        <v>711</v>
      </c>
      <c r="E81" s="9" t="s">
        <v>711</v>
      </c>
      <c r="F81" s="56" t="s">
        <v>711</v>
      </c>
    </row>
    <row r="82" spans="1:6" ht="51">
      <c r="A82" s="8">
        <v>493</v>
      </c>
      <c r="B82" s="8" t="s">
        <v>864</v>
      </c>
      <c r="C82" s="8" t="s">
        <v>866</v>
      </c>
      <c r="D82" s="55" t="s">
        <v>867</v>
      </c>
      <c r="E82" s="8" t="s">
        <v>868</v>
      </c>
      <c r="F82" s="55" t="s">
        <v>867</v>
      </c>
    </row>
    <row r="83" spans="1:6" ht="16.5">
      <c r="A83" s="9">
        <v>497</v>
      </c>
      <c r="B83" s="9" t="s">
        <v>864</v>
      </c>
      <c r="C83" s="9" t="s">
        <v>869</v>
      </c>
      <c r="D83" s="56" t="s">
        <v>870</v>
      </c>
      <c r="E83" s="9" t="s">
        <v>870</v>
      </c>
      <c r="F83" s="56" t="s">
        <v>870</v>
      </c>
    </row>
    <row r="84" spans="1:6" ht="33.75">
      <c r="A84" s="8">
        <v>499</v>
      </c>
      <c r="B84" s="8" t="s">
        <v>871</v>
      </c>
      <c r="C84" s="8" t="s">
        <v>872</v>
      </c>
      <c r="D84" s="55" t="s">
        <v>873</v>
      </c>
      <c r="E84" s="8" t="s">
        <v>874</v>
      </c>
      <c r="F84" s="55" t="s">
        <v>873</v>
      </c>
    </row>
    <row r="85" spans="1:6" ht="33.75">
      <c r="A85" s="9">
        <v>500</v>
      </c>
      <c r="B85" s="9" t="s">
        <v>871</v>
      </c>
      <c r="C85" s="9" t="s">
        <v>875</v>
      </c>
      <c r="D85" s="55" t="s">
        <v>876</v>
      </c>
      <c r="E85" s="9" t="s">
        <v>877</v>
      </c>
      <c r="F85" s="56" t="s">
        <v>876</v>
      </c>
    </row>
    <row r="86" spans="1:6" ht="33.75">
      <c r="A86" s="8">
        <v>501</v>
      </c>
      <c r="B86" s="8" t="s">
        <v>871</v>
      </c>
      <c r="C86" s="8" t="s">
        <v>878</v>
      </c>
      <c r="D86" s="55" t="s">
        <v>879</v>
      </c>
      <c r="E86" s="8" t="s">
        <v>880</v>
      </c>
      <c r="F86" s="55" t="s">
        <v>879</v>
      </c>
    </row>
    <row r="87" spans="1:6" ht="33.75">
      <c r="A87" s="9">
        <v>509</v>
      </c>
      <c r="B87" s="9" t="s">
        <v>881</v>
      </c>
      <c r="C87" s="9" t="s">
        <v>882</v>
      </c>
      <c r="D87" s="56" t="s">
        <v>883</v>
      </c>
      <c r="E87" s="9" t="s">
        <v>884</v>
      </c>
      <c r="F87" s="56" t="s">
        <v>883</v>
      </c>
    </row>
    <row r="88" spans="1:6" ht="16.5">
      <c r="A88" s="8">
        <v>513</v>
      </c>
      <c r="B88" s="8" t="s">
        <v>885</v>
      </c>
      <c r="C88" s="8" t="s">
        <v>713</v>
      </c>
      <c r="D88" s="55" t="s">
        <v>299</v>
      </c>
      <c r="E88" s="8" t="s">
        <v>299</v>
      </c>
      <c r="F88" s="55" t="s">
        <v>299</v>
      </c>
    </row>
    <row r="89" spans="1:6" ht="144.75">
      <c r="A89" s="9">
        <v>515</v>
      </c>
      <c r="B89" s="9" t="s">
        <v>885</v>
      </c>
      <c r="C89" s="9" t="s">
        <v>886</v>
      </c>
      <c r="D89" s="55" t="s">
        <v>887</v>
      </c>
      <c r="E89" s="9" t="s">
        <v>888</v>
      </c>
      <c r="F89" s="55" t="s">
        <v>887</v>
      </c>
    </row>
    <row r="90" spans="1:6" ht="16.5">
      <c r="A90" s="8">
        <v>519</v>
      </c>
      <c r="B90" s="8" t="s">
        <v>885</v>
      </c>
      <c r="C90" s="8" t="s">
        <v>889</v>
      </c>
      <c r="D90" s="55" t="s">
        <v>890</v>
      </c>
      <c r="E90" s="8" t="s">
        <v>890</v>
      </c>
      <c r="F90" s="55" t="s">
        <v>890</v>
      </c>
    </row>
    <row r="91" spans="1:6" ht="33.75">
      <c r="A91" s="9">
        <v>521</v>
      </c>
      <c r="B91" s="9" t="s">
        <v>885</v>
      </c>
      <c r="C91" s="9" t="s">
        <v>891</v>
      </c>
      <c r="D91" s="55" t="s">
        <v>892</v>
      </c>
      <c r="E91" s="9" t="s">
        <v>893</v>
      </c>
      <c r="F91" s="55" t="s">
        <v>892</v>
      </c>
    </row>
    <row r="92" spans="1:6" ht="16.5">
      <c r="A92" s="8">
        <v>526</v>
      </c>
      <c r="B92" s="8" t="s">
        <v>885</v>
      </c>
      <c r="C92" s="8" t="s">
        <v>894</v>
      </c>
      <c r="D92" s="55" t="s">
        <v>895</v>
      </c>
      <c r="E92" s="8" t="s">
        <v>895</v>
      </c>
      <c r="F92" s="55" t="s">
        <v>895</v>
      </c>
    </row>
    <row r="93" spans="1:6" ht="33.75">
      <c r="A93" s="9">
        <v>528</v>
      </c>
      <c r="B93" s="9" t="s">
        <v>885</v>
      </c>
      <c r="C93" s="9" t="s">
        <v>896</v>
      </c>
      <c r="D93" s="55" t="s">
        <v>897</v>
      </c>
      <c r="E93" s="9" t="s">
        <v>898</v>
      </c>
      <c r="F93" s="56" t="s">
        <v>897</v>
      </c>
    </row>
    <row r="94" spans="1:6" ht="33">
      <c r="A94" s="8">
        <v>536</v>
      </c>
      <c r="B94" s="8" t="s">
        <v>899</v>
      </c>
      <c r="C94" s="8" t="s">
        <v>900</v>
      </c>
      <c r="D94" s="55" t="s">
        <v>901</v>
      </c>
      <c r="E94" s="8" t="s">
        <v>902</v>
      </c>
      <c r="F94" s="55" t="s">
        <v>901</v>
      </c>
    </row>
    <row r="95" spans="1:6" ht="50.25">
      <c r="A95" s="9">
        <v>539</v>
      </c>
      <c r="B95" s="9" t="s">
        <v>903</v>
      </c>
      <c r="C95" s="9" t="s">
        <v>904</v>
      </c>
      <c r="D95" s="55" t="s">
        <v>905</v>
      </c>
      <c r="E95" s="9" t="s">
        <v>906</v>
      </c>
      <c r="F95" s="56" t="s">
        <v>905</v>
      </c>
    </row>
    <row r="96" spans="1:6" ht="16.5">
      <c r="A96" s="8">
        <v>543</v>
      </c>
      <c r="B96" s="8" t="s">
        <v>907</v>
      </c>
      <c r="C96" s="8" t="s">
        <v>908</v>
      </c>
      <c r="D96" s="55" t="s">
        <v>909</v>
      </c>
      <c r="E96" s="8" t="s">
        <v>909</v>
      </c>
      <c r="F96" s="55" t="s">
        <v>909</v>
      </c>
    </row>
    <row r="97" spans="1:6" ht="33.75">
      <c r="A97" s="9">
        <v>545</v>
      </c>
      <c r="B97" s="9" t="s">
        <v>910</v>
      </c>
      <c r="C97" s="9" t="s">
        <v>911</v>
      </c>
      <c r="D97" s="56" t="s">
        <v>912</v>
      </c>
      <c r="E97" s="9" t="s">
        <v>912</v>
      </c>
      <c r="F97" s="56" t="s">
        <v>912</v>
      </c>
    </row>
    <row r="98" spans="1:6" ht="33.75">
      <c r="A98" s="8">
        <v>546</v>
      </c>
      <c r="B98" s="8" t="s">
        <v>910</v>
      </c>
      <c r="C98" s="8" t="s">
        <v>913</v>
      </c>
      <c r="D98" s="55" t="s">
        <v>914</v>
      </c>
      <c r="E98" s="8" t="s">
        <v>915</v>
      </c>
      <c r="F98" s="55" t="s">
        <v>914</v>
      </c>
    </row>
    <row r="99" spans="1:6" ht="33.75">
      <c r="A99" s="9">
        <v>550</v>
      </c>
      <c r="B99" s="9" t="s">
        <v>907</v>
      </c>
      <c r="C99" s="9" t="s">
        <v>916</v>
      </c>
      <c r="D99" s="55" t="s">
        <v>917</v>
      </c>
      <c r="E99" s="9" t="s">
        <v>918</v>
      </c>
      <c r="F99" s="56" t="s">
        <v>917</v>
      </c>
    </row>
    <row r="100" spans="1:6" ht="66.75">
      <c r="A100" s="8">
        <v>552</v>
      </c>
      <c r="B100" s="8" t="s">
        <v>907</v>
      </c>
      <c r="C100" s="8" t="s">
        <v>919</v>
      </c>
      <c r="D100" s="55" t="s">
        <v>920</v>
      </c>
      <c r="E100" s="8" t="s">
        <v>921</v>
      </c>
      <c r="F100" s="55" t="s">
        <v>920</v>
      </c>
    </row>
    <row r="101" spans="1:6" ht="16.5">
      <c r="A101" s="9">
        <v>556</v>
      </c>
      <c r="B101" s="9" t="s">
        <v>907</v>
      </c>
      <c r="C101" s="9" t="s">
        <v>922</v>
      </c>
      <c r="D101" s="55" t="s">
        <v>923</v>
      </c>
      <c r="E101" s="9" t="s">
        <v>924</v>
      </c>
      <c r="F101" s="56" t="s">
        <v>923</v>
      </c>
    </row>
    <row r="102" spans="1:6" ht="50.25">
      <c r="A102" s="8">
        <v>558</v>
      </c>
      <c r="B102" s="8" t="s">
        <v>907</v>
      </c>
      <c r="C102" s="8" t="s">
        <v>925</v>
      </c>
      <c r="D102" s="55" t="s">
        <v>926</v>
      </c>
      <c r="E102" s="8" t="s">
        <v>927</v>
      </c>
      <c r="F102" s="55" t="s">
        <v>926</v>
      </c>
    </row>
    <row r="103" spans="1:6" ht="50.25">
      <c r="A103" s="9">
        <v>566</v>
      </c>
      <c r="B103" s="9" t="s">
        <v>928</v>
      </c>
      <c r="C103" s="9" t="s">
        <v>929</v>
      </c>
      <c r="D103" s="55" t="s">
        <v>930</v>
      </c>
      <c r="E103" s="9" t="s">
        <v>931</v>
      </c>
      <c r="F103" s="56" t="s">
        <v>930</v>
      </c>
    </row>
    <row r="104" spans="1:6" ht="16.5">
      <c r="A104" s="8">
        <v>570</v>
      </c>
      <c r="B104" s="8" t="s">
        <v>665</v>
      </c>
      <c r="C104" s="8" t="s">
        <v>932</v>
      </c>
      <c r="D104" s="55" t="s">
        <v>933</v>
      </c>
      <c r="E104" s="8" t="s">
        <v>934</v>
      </c>
      <c r="F104" s="55" t="s">
        <v>933</v>
      </c>
    </row>
    <row r="105" spans="1:6" ht="66.75">
      <c r="A105" s="9">
        <v>572</v>
      </c>
      <c r="B105" s="9" t="s">
        <v>665</v>
      </c>
      <c r="C105" s="9" t="s">
        <v>935</v>
      </c>
      <c r="D105" s="55" t="s">
        <v>936</v>
      </c>
      <c r="E105" s="9" t="s">
        <v>937</v>
      </c>
      <c r="F105" s="55" t="s">
        <v>936</v>
      </c>
    </row>
    <row r="106" spans="1:6" ht="16.5">
      <c r="A106" s="8">
        <v>576</v>
      </c>
      <c r="B106" s="8" t="s">
        <v>665</v>
      </c>
      <c r="C106" s="8" t="s">
        <v>938</v>
      </c>
      <c r="D106" s="55" t="s">
        <v>939</v>
      </c>
      <c r="E106" s="8" t="s">
        <v>940</v>
      </c>
      <c r="F106" s="55" t="s">
        <v>939</v>
      </c>
    </row>
    <row r="107" spans="1:6" ht="50.25">
      <c r="A107" s="9">
        <v>578</v>
      </c>
      <c r="B107" s="9" t="s">
        <v>665</v>
      </c>
      <c r="C107" s="9" t="s">
        <v>941</v>
      </c>
      <c r="D107" s="55" t="s">
        <v>942</v>
      </c>
      <c r="E107" s="9" t="s">
        <v>943</v>
      </c>
      <c r="F107" s="56" t="s">
        <v>942</v>
      </c>
    </row>
    <row r="108" spans="1:6" ht="16.5">
      <c r="A108" s="8">
        <v>582</v>
      </c>
      <c r="B108" s="8" t="s">
        <v>665</v>
      </c>
      <c r="C108" s="8" t="s">
        <v>944</v>
      </c>
      <c r="D108" s="55" t="s">
        <v>945</v>
      </c>
      <c r="E108" s="8" t="s">
        <v>945</v>
      </c>
      <c r="F108" s="55" t="s">
        <v>945</v>
      </c>
    </row>
    <row r="109" spans="1:6" ht="50.25">
      <c r="A109" s="9">
        <v>584</v>
      </c>
      <c r="B109" s="9" t="s">
        <v>665</v>
      </c>
      <c r="C109" s="9" t="s">
        <v>946</v>
      </c>
      <c r="D109" s="56" t="s">
        <v>947</v>
      </c>
      <c r="E109" s="9" t="s">
        <v>947</v>
      </c>
      <c r="F109" s="56" t="s">
        <v>947</v>
      </c>
    </row>
    <row r="110" spans="1:6" ht="16.5">
      <c r="A110" s="8">
        <v>592</v>
      </c>
      <c r="B110" s="8" t="s">
        <v>948</v>
      </c>
      <c r="C110" s="8" t="s">
        <v>719</v>
      </c>
      <c r="D110" s="55" t="s">
        <v>720</v>
      </c>
      <c r="E110" s="8" t="s">
        <v>720</v>
      </c>
      <c r="F110" s="55" t="s">
        <v>720</v>
      </c>
    </row>
    <row r="111" spans="1:6" ht="16.5">
      <c r="A111" s="9">
        <v>596</v>
      </c>
      <c r="B111" s="9" t="s">
        <v>426</v>
      </c>
      <c r="C111" s="9" t="s">
        <v>701</v>
      </c>
      <c r="D111" s="56" t="s">
        <v>96</v>
      </c>
      <c r="E111" s="9" t="s">
        <v>96</v>
      </c>
      <c r="F111" s="56" t="s">
        <v>96</v>
      </c>
    </row>
    <row r="112" spans="1:6" ht="33.75">
      <c r="A112" s="8">
        <v>598</v>
      </c>
      <c r="B112" s="8" t="s">
        <v>426</v>
      </c>
      <c r="C112" s="8" t="s">
        <v>949</v>
      </c>
      <c r="D112" s="55" t="s">
        <v>950</v>
      </c>
      <c r="E112" s="8" t="s">
        <v>951</v>
      </c>
      <c r="F112" s="55" t="s">
        <v>950</v>
      </c>
    </row>
    <row r="113" spans="1:6" ht="16.5">
      <c r="A113" s="9">
        <v>600</v>
      </c>
      <c r="B113" s="9" t="s">
        <v>488</v>
      </c>
      <c r="C113" s="9" t="s">
        <v>952</v>
      </c>
      <c r="D113" s="56" t="s">
        <v>70</v>
      </c>
      <c r="E113" s="9" t="s">
        <v>70</v>
      </c>
      <c r="F113" s="56" t="s">
        <v>70</v>
      </c>
    </row>
    <row r="114" spans="1:6" ht="16.5">
      <c r="A114" s="8">
        <v>604</v>
      </c>
      <c r="B114" s="8" t="s">
        <v>426</v>
      </c>
      <c r="C114" s="8" t="s">
        <v>953</v>
      </c>
      <c r="D114" s="55" t="s">
        <v>954</v>
      </c>
      <c r="E114" s="8" t="s">
        <v>955</v>
      </c>
      <c r="F114" s="55" t="s">
        <v>954</v>
      </c>
    </row>
    <row r="115" spans="1:6" ht="50.25">
      <c r="A115" s="9">
        <v>606</v>
      </c>
      <c r="B115" s="9" t="s">
        <v>426</v>
      </c>
      <c r="C115" s="9" t="s">
        <v>956</v>
      </c>
      <c r="D115" s="56" t="s">
        <v>957</v>
      </c>
      <c r="E115" s="9" t="s">
        <v>957</v>
      </c>
      <c r="F115" s="56" t="s">
        <v>957</v>
      </c>
    </row>
    <row r="116" spans="1:6" ht="16.5">
      <c r="A116" s="8">
        <v>608</v>
      </c>
      <c r="B116" s="8" t="s">
        <v>488</v>
      </c>
      <c r="C116" s="8" t="s">
        <v>958</v>
      </c>
      <c r="D116" s="55" t="s">
        <v>959</v>
      </c>
      <c r="E116" s="8" t="s">
        <v>960</v>
      </c>
      <c r="F116" s="55" t="s">
        <v>959</v>
      </c>
    </row>
    <row r="117" spans="1:6" ht="16.5">
      <c r="A117" s="9">
        <v>612</v>
      </c>
      <c r="B117" s="9" t="s">
        <v>426</v>
      </c>
      <c r="C117" s="9" t="s">
        <v>961</v>
      </c>
      <c r="D117" s="56" t="s">
        <v>962</v>
      </c>
      <c r="E117" s="9" t="s">
        <v>962</v>
      </c>
      <c r="F117" s="56" t="s">
        <v>962</v>
      </c>
    </row>
    <row r="118" spans="1:6" ht="33.75">
      <c r="A118" s="8">
        <v>614</v>
      </c>
      <c r="B118" s="8" t="s">
        <v>426</v>
      </c>
      <c r="C118" s="8" t="s">
        <v>963</v>
      </c>
      <c r="D118" s="55" t="s">
        <v>964</v>
      </c>
      <c r="E118" s="8" t="s">
        <v>965</v>
      </c>
      <c r="F118" s="55" t="s">
        <v>964</v>
      </c>
    </row>
    <row r="119" spans="1:6" ht="16.5">
      <c r="A119" s="9">
        <v>616</v>
      </c>
      <c r="B119" s="9" t="s">
        <v>488</v>
      </c>
      <c r="C119" s="9" t="s">
        <v>601</v>
      </c>
      <c r="D119" s="56" t="s">
        <v>602</v>
      </c>
      <c r="E119" s="9" t="s">
        <v>602</v>
      </c>
      <c r="F119" s="56" t="s">
        <v>602</v>
      </c>
    </row>
    <row r="120" spans="1:6" ht="16.5">
      <c r="A120" s="8">
        <v>640</v>
      </c>
      <c r="B120" s="8" t="s">
        <v>352</v>
      </c>
      <c r="C120" s="8" t="s">
        <v>79</v>
      </c>
      <c r="D120" s="55" t="s">
        <v>80</v>
      </c>
      <c r="E120" s="8" t="s">
        <v>80</v>
      </c>
      <c r="F120" s="55" t="s">
        <v>80</v>
      </c>
    </row>
    <row r="121" spans="1:6" ht="16.5">
      <c r="A121" s="9">
        <v>642</v>
      </c>
      <c r="B121" s="9" t="s">
        <v>352</v>
      </c>
      <c r="C121" s="9" t="s">
        <v>606</v>
      </c>
      <c r="D121" s="56" t="s">
        <v>607</v>
      </c>
      <c r="E121" s="9" t="s">
        <v>607</v>
      </c>
      <c r="F121" s="56" t="s">
        <v>607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/>
  </sheetPr>
  <dimension ref="A1:F57"/>
  <sheetViews>
    <sheetView workbookViewId="0">
      <selection activeCell="D15" sqref="D15"/>
    </sheetView>
  </sheetViews>
  <sheetFormatPr defaultRowHeight="15"/>
  <cols>
    <col min="1" max="1" width="6" customWidth="1"/>
    <col min="2" max="2" width="18" customWidth="1"/>
    <col min="3" max="3" width="45" customWidth="1"/>
    <col min="4" max="4" width="20" customWidth="1"/>
    <col min="5" max="5" width="45" customWidth="1"/>
    <col min="6" max="6" width="20" customWidth="1"/>
  </cols>
  <sheetData>
    <row r="1" spans="1:6">
      <c r="A1" s="12" t="s">
        <v>966</v>
      </c>
      <c r="B1" t="s">
        <v>23</v>
      </c>
    </row>
    <row r="2" spans="1:6">
      <c r="A2" s="12" t="s">
        <v>967</v>
      </c>
      <c r="B2" t="s">
        <v>161</v>
      </c>
    </row>
    <row r="3" spans="1:6">
      <c r="A3" s="12" t="s">
        <v>968</v>
      </c>
      <c r="B3" s="33" t="s">
        <v>24</v>
      </c>
    </row>
    <row r="4" spans="1:6">
      <c r="A4" s="12" t="s">
        <v>969</v>
      </c>
      <c r="B4">
        <v>49</v>
      </c>
    </row>
    <row r="5" spans="1:6">
      <c r="A5" s="12" t="s">
        <v>970</v>
      </c>
      <c r="B5" t="s">
        <v>14</v>
      </c>
    </row>
    <row r="6" spans="1:6">
      <c r="A6" s="12" t="s">
        <v>971</v>
      </c>
      <c r="B6" t="s">
        <v>50</v>
      </c>
    </row>
    <row r="8" spans="1:6">
      <c r="A8" s="34" t="s">
        <v>972</v>
      </c>
      <c r="B8" s="34" t="s">
        <v>59</v>
      </c>
      <c r="C8" s="34" t="s">
        <v>60</v>
      </c>
      <c r="D8" s="34" t="s">
        <v>61</v>
      </c>
      <c r="E8" s="34" t="s">
        <v>62</v>
      </c>
      <c r="F8" s="34" t="s">
        <v>63</v>
      </c>
    </row>
    <row r="9" spans="1:6" ht="16.5">
      <c r="A9" s="11">
        <v>1</v>
      </c>
      <c r="B9" s="11" t="s">
        <v>973</v>
      </c>
      <c r="C9" s="13" t="s">
        <v>161</v>
      </c>
      <c r="D9" s="8" t="str">
        <f>IFERROR(_xlfn.XLOOKUP(C9,index.html!C:C,index.html!D:D)," ")</f>
        <v xml:space="preserve"> </v>
      </c>
      <c r="E9" s="13" t="s">
        <v>161</v>
      </c>
      <c r="F9" s="11"/>
    </row>
    <row r="10" spans="1:6" ht="16.5">
      <c r="A10" s="10">
        <v>2</v>
      </c>
      <c r="B10" s="10" t="s">
        <v>360</v>
      </c>
      <c r="C10" s="14" t="s">
        <v>161</v>
      </c>
      <c r="D10" s="10"/>
      <c r="E10" s="14" t="s">
        <v>161</v>
      </c>
      <c r="F10" s="10"/>
    </row>
    <row r="11" spans="1:6" ht="33">
      <c r="A11" s="11">
        <v>3</v>
      </c>
      <c r="B11" s="11" t="s">
        <v>360</v>
      </c>
      <c r="C11" s="13" t="s">
        <v>974</v>
      </c>
      <c r="D11" s="11"/>
      <c r="E11" s="13" t="s">
        <v>975</v>
      </c>
      <c r="F11" s="11"/>
    </row>
    <row r="12" spans="1:6" ht="16.5">
      <c r="A12" s="10">
        <v>4</v>
      </c>
      <c r="B12" s="10" t="s">
        <v>93</v>
      </c>
      <c r="C12" s="14" t="s">
        <v>96</v>
      </c>
      <c r="D12" s="10"/>
      <c r="E12" s="14" t="s">
        <v>96</v>
      </c>
      <c r="F12" s="10"/>
    </row>
    <row r="13" spans="1:6" ht="16.5">
      <c r="A13" s="11">
        <v>5</v>
      </c>
      <c r="B13" s="11" t="s">
        <v>93</v>
      </c>
      <c r="C13" s="13" t="s">
        <v>976</v>
      </c>
      <c r="D13" s="11"/>
      <c r="E13" s="13" t="s">
        <v>976</v>
      </c>
      <c r="F13" s="11"/>
    </row>
    <row r="14" spans="1:6" ht="16.5">
      <c r="A14" s="10">
        <v>6</v>
      </c>
      <c r="B14" s="10" t="s">
        <v>93</v>
      </c>
      <c r="C14" s="14" t="s">
        <v>441</v>
      </c>
      <c r="D14" s="10"/>
      <c r="E14" s="14" t="s">
        <v>441</v>
      </c>
      <c r="F14" s="10"/>
    </row>
    <row r="15" spans="1:6" ht="16.5">
      <c r="A15" s="11">
        <v>7</v>
      </c>
      <c r="B15" s="11" t="s">
        <v>147</v>
      </c>
      <c r="C15" s="13" t="s">
        <v>977</v>
      </c>
      <c r="D15" s="11"/>
      <c r="E15" s="13" t="s">
        <v>977</v>
      </c>
      <c r="F15" s="11"/>
    </row>
    <row r="16" spans="1:6" ht="15.75">
      <c r="A16" s="10">
        <v>8</v>
      </c>
      <c r="B16" s="10" t="s">
        <v>147</v>
      </c>
      <c r="C16" s="14" t="s">
        <v>978</v>
      </c>
      <c r="D16" s="10"/>
      <c r="E16" s="14" t="s">
        <v>978</v>
      </c>
      <c r="F16" s="10"/>
    </row>
    <row r="17" spans="1:6" ht="16.5">
      <c r="A17" s="11">
        <v>9</v>
      </c>
      <c r="B17" s="11" t="s">
        <v>147</v>
      </c>
      <c r="C17" s="13" t="s">
        <v>979</v>
      </c>
      <c r="D17" s="11"/>
      <c r="E17" s="13" t="s">
        <v>979</v>
      </c>
      <c r="F17" s="11"/>
    </row>
    <row r="18" spans="1:6" ht="16.5">
      <c r="A18" s="10">
        <v>10</v>
      </c>
      <c r="B18" s="10" t="s">
        <v>147</v>
      </c>
      <c r="C18" s="14" t="s">
        <v>980</v>
      </c>
      <c r="D18" s="10"/>
      <c r="E18" s="14" t="s">
        <v>980</v>
      </c>
      <c r="F18" s="10"/>
    </row>
    <row r="19" spans="1:6" ht="33">
      <c r="A19" s="11">
        <v>11</v>
      </c>
      <c r="B19" s="11" t="s">
        <v>147</v>
      </c>
      <c r="C19" s="13" t="s">
        <v>981</v>
      </c>
      <c r="D19" s="11"/>
      <c r="E19" s="13" t="s">
        <v>982</v>
      </c>
      <c r="F19" s="11"/>
    </row>
    <row r="20" spans="1:6" ht="16.5">
      <c r="A20" s="10">
        <v>12</v>
      </c>
      <c r="B20" s="10" t="s">
        <v>59</v>
      </c>
      <c r="C20" s="14" t="s">
        <v>983</v>
      </c>
      <c r="D20" s="10"/>
      <c r="E20" s="14" t="s">
        <v>983</v>
      </c>
      <c r="F20" s="10"/>
    </row>
    <row r="21" spans="1:6" ht="16.5">
      <c r="A21" s="11">
        <v>13</v>
      </c>
      <c r="B21" s="11" t="s">
        <v>59</v>
      </c>
      <c r="C21" s="13" t="s">
        <v>984</v>
      </c>
      <c r="D21" s="11"/>
      <c r="E21" s="13" t="s">
        <v>985</v>
      </c>
      <c r="F21" s="11"/>
    </row>
    <row r="22" spans="1:6" ht="16.5">
      <c r="A22" s="10">
        <v>14</v>
      </c>
      <c r="B22" s="10" t="s">
        <v>986</v>
      </c>
      <c r="C22" s="14" t="s">
        <v>987</v>
      </c>
      <c r="D22" s="10"/>
      <c r="E22" s="14" t="s">
        <v>987</v>
      </c>
      <c r="F22" s="10"/>
    </row>
    <row r="23" spans="1:6" ht="16.5">
      <c r="A23" s="11">
        <v>15</v>
      </c>
      <c r="B23" s="11" t="s">
        <v>986</v>
      </c>
      <c r="C23" s="13" t="s">
        <v>988</v>
      </c>
      <c r="D23" s="11"/>
      <c r="E23" s="13" t="s">
        <v>988</v>
      </c>
      <c r="F23" s="11"/>
    </row>
    <row r="24" spans="1:6" ht="16.5">
      <c r="A24" s="10">
        <v>16</v>
      </c>
      <c r="B24" s="10" t="s">
        <v>986</v>
      </c>
      <c r="C24" s="14" t="s">
        <v>989</v>
      </c>
      <c r="D24" s="10"/>
      <c r="E24" s="14" t="s">
        <v>990</v>
      </c>
      <c r="F24" s="10"/>
    </row>
    <row r="25" spans="1:6" ht="16.5">
      <c r="A25" s="11">
        <v>17</v>
      </c>
      <c r="B25" s="11" t="s">
        <v>986</v>
      </c>
      <c r="C25" s="13" t="s">
        <v>991</v>
      </c>
      <c r="D25" s="11"/>
      <c r="E25" s="13" t="s">
        <v>992</v>
      </c>
      <c r="F25" s="11"/>
    </row>
    <row r="26" spans="1:6" ht="16.5">
      <c r="A26" s="10">
        <v>18</v>
      </c>
      <c r="B26" s="10" t="s">
        <v>986</v>
      </c>
      <c r="C26" s="14" t="s">
        <v>993</v>
      </c>
      <c r="D26" s="10"/>
      <c r="E26" s="14" t="s">
        <v>994</v>
      </c>
      <c r="F26" s="10"/>
    </row>
    <row r="27" spans="1:6" ht="16.5">
      <c r="A27" s="11">
        <v>19</v>
      </c>
      <c r="B27" s="11" t="s">
        <v>986</v>
      </c>
      <c r="C27" s="13" t="s">
        <v>995</v>
      </c>
      <c r="D27" s="11"/>
      <c r="E27" s="13" t="s">
        <v>995</v>
      </c>
      <c r="F27" s="11"/>
    </row>
    <row r="28" spans="1:6" ht="16.5">
      <c r="A28" s="10">
        <v>20</v>
      </c>
      <c r="B28" s="10" t="s">
        <v>986</v>
      </c>
      <c r="C28" s="14" t="s">
        <v>996</v>
      </c>
      <c r="D28" s="10"/>
      <c r="E28" s="14" t="s">
        <v>997</v>
      </c>
      <c r="F28" s="10"/>
    </row>
    <row r="29" spans="1:6" ht="16.5">
      <c r="A29" s="11">
        <v>21</v>
      </c>
      <c r="B29" s="11" t="s">
        <v>59</v>
      </c>
      <c r="C29" s="13" t="s">
        <v>998</v>
      </c>
      <c r="D29" s="11"/>
      <c r="E29" s="13" t="s">
        <v>998</v>
      </c>
      <c r="F29" s="11"/>
    </row>
    <row r="30" spans="1:6" ht="16.5">
      <c r="A30" s="10">
        <v>22</v>
      </c>
      <c r="B30" s="10" t="s">
        <v>147</v>
      </c>
      <c r="C30" s="14" t="s">
        <v>999</v>
      </c>
      <c r="D30" s="10"/>
      <c r="E30" s="14" t="s">
        <v>999</v>
      </c>
      <c r="F30" s="10"/>
    </row>
    <row r="31" spans="1:6" ht="33">
      <c r="A31" s="11">
        <v>23</v>
      </c>
      <c r="B31" s="11" t="s">
        <v>147</v>
      </c>
      <c r="C31" s="13" t="s">
        <v>1000</v>
      </c>
      <c r="D31" s="11"/>
      <c r="E31" s="13" t="s">
        <v>1001</v>
      </c>
      <c r="F31" s="11"/>
    </row>
    <row r="32" spans="1:6" ht="16.5">
      <c r="A32" s="10">
        <v>24</v>
      </c>
      <c r="B32" s="10" t="s">
        <v>147</v>
      </c>
      <c r="C32" s="14" t="s">
        <v>1002</v>
      </c>
      <c r="D32" s="10"/>
      <c r="E32" s="14" t="s">
        <v>1002</v>
      </c>
      <c r="F32" s="10"/>
    </row>
    <row r="33" spans="1:6" ht="33">
      <c r="A33" s="11">
        <v>25</v>
      </c>
      <c r="B33" s="11" t="s">
        <v>147</v>
      </c>
      <c r="C33" s="13" t="s">
        <v>1003</v>
      </c>
      <c r="D33" s="11"/>
      <c r="E33" s="13" t="s">
        <v>1004</v>
      </c>
      <c r="F33" s="11"/>
    </row>
    <row r="34" spans="1:6" ht="16.5">
      <c r="A34" s="10">
        <v>26</v>
      </c>
      <c r="B34" s="10" t="s">
        <v>147</v>
      </c>
      <c r="C34" s="14" t="s">
        <v>1005</v>
      </c>
      <c r="D34" s="10"/>
      <c r="E34" s="14" t="s">
        <v>1005</v>
      </c>
      <c r="F34" s="10"/>
    </row>
    <row r="35" spans="1:6" ht="33">
      <c r="A35" s="11">
        <v>27</v>
      </c>
      <c r="B35" s="11" t="s">
        <v>147</v>
      </c>
      <c r="C35" s="13" t="s">
        <v>1006</v>
      </c>
      <c r="D35" s="11"/>
      <c r="E35" s="13" t="s">
        <v>1007</v>
      </c>
      <c r="F35" s="11"/>
    </row>
    <row r="36" spans="1:6" ht="16.5">
      <c r="A36" s="10">
        <v>28</v>
      </c>
      <c r="B36" s="10" t="s">
        <v>59</v>
      </c>
      <c r="C36" s="14" t="s">
        <v>1008</v>
      </c>
      <c r="D36" s="10"/>
      <c r="E36" s="14" t="s">
        <v>1008</v>
      </c>
      <c r="F36" s="10"/>
    </row>
    <row r="37" spans="1:6" ht="16.5">
      <c r="A37" s="11">
        <v>29</v>
      </c>
      <c r="B37" s="11" t="s">
        <v>1009</v>
      </c>
      <c r="C37" s="13" t="s">
        <v>1010</v>
      </c>
      <c r="D37" s="11"/>
      <c r="E37" s="13" t="s">
        <v>1010</v>
      </c>
      <c r="F37" s="11"/>
    </row>
    <row r="38" spans="1:6" ht="16.5">
      <c r="A38" s="10">
        <v>30</v>
      </c>
      <c r="B38" s="10" t="s">
        <v>1009</v>
      </c>
      <c r="C38" s="14" t="s">
        <v>1011</v>
      </c>
      <c r="D38" s="10"/>
      <c r="E38" s="14" t="s">
        <v>1011</v>
      </c>
      <c r="F38" s="10"/>
    </row>
    <row r="39" spans="1:6" ht="16.5">
      <c r="A39" s="11">
        <v>31</v>
      </c>
      <c r="B39" s="11" t="s">
        <v>1009</v>
      </c>
      <c r="C39" s="13" t="s">
        <v>1012</v>
      </c>
      <c r="D39" s="11"/>
      <c r="E39" s="13" t="s">
        <v>1012</v>
      </c>
      <c r="F39" s="11"/>
    </row>
    <row r="40" spans="1:6" ht="16.5">
      <c r="A40" s="10">
        <v>32</v>
      </c>
      <c r="B40" s="10" t="s">
        <v>1009</v>
      </c>
      <c r="C40" s="14" t="s">
        <v>1013</v>
      </c>
      <c r="D40" s="10"/>
      <c r="E40" s="14" t="s">
        <v>1013</v>
      </c>
      <c r="F40" s="10"/>
    </row>
    <row r="41" spans="1:6" ht="16.5">
      <c r="A41" s="11">
        <v>33</v>
      </c>
      <c r="B41" s="11" t="s">
        <v>1009</v>
      </c>
      <c r="C41" s="13" t="s">
        <v>1014</v>
      </c>
      <c r="D41" s="11"/>
      <c r="E41" s="13" t="s">
        <v>1014</v>
      </c>
      <c r="F41" s="11"/>
    </row>
    <row r="42" spans="1:6" ht="16.5">
      <c r="A42" s="10">
        <v>34</v>
      </c>
      <c r="B42" s="10" t="s">
        <v>1009</v>
      </c>
      <c r="C42" s="14" t="s">
        <v>1015</v>
      </c>
      <c r="D42" s="10"/>
      <c r="E42" s="14" t="s">
        <v>1015</v>
      </c>
      <c r="F42" s="10"/>
    </row>
    <row r="43" spans="1:6" ht="16.5">
      <c r="A43" s="11">
        <v>35</v>
      </c>
      <c r="B43" s="11" t="s">
        <v>1009</v>
      </c>
      <c r="C43" s="13" t="s">
        <v>1016</v>
      </c>
      <c r="D43" s="11"/>
      <c r="E43" s="13" t="s">
        <v>1016</v>
      </c>
      <c r="F43" s="11"/>
    </row>
    <row r="44" spans="1:6" ht="16.5">
      <c r="A44" s="10">
        <v>36</v>
      </c>
      <c r="B44" s="10" t="s">
        <v>1009</v>
      </c>
      <c r="C44" s="14" t="s">
        <v>1017</v>
      </c>
      <c r="D44" s="10"/>
      <c r="E44" s="14" t="s">
        <v>1017</v>
      </c>
      <c r="F44" s="10"/>
    </row>
    <row r="45" spans="1:6" ht="16.5">
      <c r="A45" s="11">
        <v>37</v>
      </c>
      <c r="B45" s="11" t="s">
        <v>1009</v>
      </c>
      <c r="C45" s="13" t="s">
        <v>1018</v>
      </c>
      <c r="D45" s="11"/>
      <c r="E45" s="13" t="s">
        <v>1018</v>
      </c>
      <c r="F45" s="11"/>
    </row>
    <row r="46" spans="1:6" ht="16.5">
      <c r="A46" s="10">
        <v>38</v>
      </c>
      <c r="B46" s="10" t="s">
        <v>1009</v>
      </c>
      <c r="C46" s="14" t="s">
        <v>1019</v>
      </c>
      <c r="D46" s="10"/>
      <c r="E46" s="14" t="s">
        <v>1019</v>
      </c>
      <c r="F46" s="10"/>
    </row>
    <row r="47" spans="1:6" ht="16.5">
      <c r="A47" s="11">
        <v>39</v>
      </c>
      <c r="B47" s="11" t="s">
        <v>1009</v>
      </c>
      <c r="C47" s="13" t="s">
        <v>1020</v>
      </c>
      <c r="D47" s="11"/>
      <c r="E47" s="13" t="s">
        <v>1020</v>
      </c>
      <c r="F47" s="11"/>
    </row>
    <row r="48" spans="1:6" ht="16.5">
      <c r="A48" s="10">
        <v>40</v>
      </c>
      <c r="B48" s="10" t="s">
        <v>1009</v>
      </c>
      <c r="C48" s="14" t="s">
        <v>1021</v>
      </c>
      <c r="D48" s="10"/>
      <c r="E48" s="14" t="s">
        <v>1021</v>
      </c>
      <c r="F48" s="10"/>
    </row>
    <row r="49" spans="1:6" ht="16.5">
      <c r="A49" s="11">
        <v>41</v>
      </c>
      <c r="B49" s="11" t="s">
        <v>1009</v>
      </c>
      <c r="C49" s="13" t="s">
        <v>1022</v>
      </c>
      <c r="D49" s="11"/>
      <c r="E49" s="13" t="s">
        <v>1022</v>
      </c>
      <c r="F49" s="11"/>
    </row>
    <row r="50" spans="1:6" ht="16.5">
      <c r="A50" s="10">
        <v>42</v>
      </c>
      <c r="B50" s="10" t="s">
        <v>1009</v>
      </c>
      <c r="C50" s="14" t="s">
        <v>1023</v>
      </c>
      <c r="D50" s="10"/>
      <c r="E50" s="14" t="s">
        <v>1023</v>
      </c>
      <c r="F50" s="10"/>
    </row>
    <row r="51" spans="1:6" ht="16.5">
      <c r="A51" s="11">
        <v>43</v>
      </c>
      <c r="B51" s="11" t="s">
        <v>1009</v>
      </c>
      <c r="C51" s="13" t="s">
        <v>1024</v>
      </c>
      <c r="D51" s="11"/>
      <c r="E51" s="13" t="s">
        <v>1024</v>
      </c>
      <c r="F51" s="11"/>
    </row>
    <row r="52" spans="1:6" ht="16.5">
      <c r="A52" s="10">
        <v>44</v>
      </c>
      <c r="B52" s="10" t="s">
        <v>1009</v>
      </c>
      <c r="C52" s="14" t="s">
        <v>1025</v>
      </c>
      <c r="D52" s="10"/>
      <c r="E52" s="14" t="s">
        <v>1025</v>
      </c>
      <c r="F52" s="10"/>
    </row>
    <row r="53" spans="1:6" ht="16.5">
      <c r="A53" s="11">
        <v>45</v>
      </c>
      <c r="B53" s="11" t="s">
        <v>1026</v>
      </c>
      <c r="C53" s="13" t="s">
        <v>1027</v>
      </c>
      <c r="D53" s="11"/>
      <c r="E53" s="13" t="s">
        <v>1027</v>
      </c>
      <c r="F53" s="11"/>
    </row>
    <row r="54" spans="1:6" ht="33">
      <c r="A54" s="10">
        <v>46</v>
      </c>
      <c r="B54" s="10" t="s">
        <v>1026</v>
      </c>
      <c r="C54" s="14" t="s">
        <v>1028</v>
      </c>
      <c r="D54" s="10"/>
      <c r="E54" s="14" t="s">
        <v>1029</v>
      </c>
      <c r="F54" s="10"/>
    </row>
    <row r="55" spans="1:6" ht="16.5">
      <c r="A55" s="11">
        <v>47</v>
      </c>
      <c r="B55" s="11" t="s">
        <v>1026</v>
      </c>
      <c r="C55" s="13" t="s">
        <v>1030</v>
      </c>
      <c r="D55" s="11"/>
      <c r="E55" s="13" t="s">
        <v>1030</v>
      </c>
      <c r="F55" s="11"/>
    </row>
    <row r="56" spans="1:6" ht="16.5">
      <c r="A56" s="10">
        <v>48</v>
      </c>
      <c r="B56" s="10" t="s">
        <v>352</v>
      </c>
      <c r="C56" s="14" t="s">
        <v>80</v>
      </c>
      <c r="D56" s="10"/>
      <c r="E56" s="14" t="s">
        <v>80</v>
      </c>
      <c r="F56" s="10"/>
    </row>
    <row r="57" spans="1:6" ht="16.5">
      <c r="A57" s="11">
        <v>49</v>
      </c>
      <c r="B57" s="11" t="s">
        <v>352</v>
      </c>
      <c r="C57" s="13" t="s">
        <v>976</v>
      </c>
      <c r="D57" s="11"/>
      <c r="E57" s="13" t="s">
        <v>976</v>
      </c>
      <c r="F57" s="11"/>
    </row>
  </sheetData>
  <hyperlinks>
    <hyperlink ref="B3" r:id="rId1" xr:uid="{06D2D051-5459-49FF-8A69-E4DB25C858F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7"/>
  <sheetViews>
    <sheetView workbookViewId="0">
      <selection activeCell="C20" sqref="C20"/>
    </sheetView>
  </sheetViews>
  <sheetFormatPr defaultRowHeight="15"/>
  <cols>
    <col min="1" max="1" width="12.5703125" bestFit="1" customWidth="1"/>
    <col min="2" max="2" width="24.42578125" customWidth="1"/>
    <col min="3" max="3" width="45" customWidth="1"/>
    <col min="4" max="4" width="20" customWidth="1"/>
    <col min="5" max="5" width="45" customWidth="1"/>
    <col min="6" max="6" width="20" customWidth="1"/>
  </cols>
  <sheetData>
    <row r="1" spans="1:6">
      <c r="A1" s="12" t="s">
        <v>10</v>
      </c>
      <c r="B1" t="s">
        <v>11</v>
      </c>
    </row>
    <row r="2" spans="1:6">
      <c r="A2" s="12" t="s">
        <v>966</v>
      </c>
      <c r="B2" t="s">
        <v>28</v>
      </c>
    </row>
    <row r="3" spans="1:6">
      <c r="A3" s="12" t="s">
        <v>967</v>
      </c>
      <c r="B3" t="s">
        <v>1031</v>
      </c>
    </row>
    <row r="4" spans="1:6">
      <c r="A4" s="12" t="s">
        <v>968</v>
      </c>
      <c r="B4" s="33" t="s">
        <v>29</v>
      </c>
    </row>
    <row r="5" spans="1:6">
      <c r="A5" s="12" t="s">
        <v>969</v>
      </c>
      <c r="B5">
        <v>89</v>
      </c>
    </row>
    <row r="6" spans="1:6">
      <c r="A6" s="12" t="s">
        <v>970</v>
      </c>
      <c r="B6" t="s">
        <v>14</v>
      </c>
    </row>
    <row r="7" spans="1:6">
      <c r="A7" s="12" t="s">
        <v>971</v>
      </c>
      <c r="B7" t="s">
        <v>50</v>
      </c>
    </row>
    <row r="8" spans="1:6">
      <c r="A8" s="35" t="s">
        <v>972</v>
      </c>
      <c r="B8" s="35" t="s">
        <v>59</v>
      </c>
      <c r="C8" s="34" t="s">
        <v>60</v>
      </c>
      <c r="D8" s="34" t="s">
        <v>61</v>
      </c>
      <c r="E8" s="34" t="s">
        <v>62</v>
      </c>
      <c r="F8" s="34" t="s">
        <v>63</v>
      </c>
    </row>
    <row r="9" spans="1:6" ht="16.5">
      <c r="A9" s="11">
        <v>1</v>
      </c>
      <c r="B9" s="11" t="s">
        <v>64</v>
      </c>
      <c r="C9" s="13" t="s">
        <v>65</v>
      </c>
      <c r="D9" s="8">
        <f>IFERROR(_xlfn.XLOOKUP(C9,index.html!C:C,index.html!D:D)," ")</f>
        <v>0</v>
      </c>
      <c r="E9" s="13" t="s">
        <v>65</v>
      </c>
      <c r="F9" s="11"/>
    </row>
    <row r="10" spans="1:6" ht="16.5">
      <c r="A10" s="10">
        <v>2</v>
      </c>
      <c r="B10" s="10" t="s">
        <v>64</v>
      </c>
      <c r="C10" s="14" t="s">
        <v>66</v>
      </c>
      <c r="D10" s="8">
        <f>IFERROR(_xlfn.XLOOKUP(C10,index.html!C:C,index.html!D:D)," ")</f>
        <v>0</v>
      </c>
      <c r="E10" s="14" t="s">
        <v>66</v>
      </c>
      <c r="F10" s="10"/>
    </row>
    <row r="11" spans="1:6" ht="16.5">
      <c r="A11" s="11">
        <v>3</v>
      </c>
      <c r="B11" s="11" t="s">
        <v>973</v>
      </c>
      <c r="C11" s="13" t="s">
        <v>443</v>
      </c>
      <c r="D11" s="8" t="str">
        <f>IFERROR(_xlfn.XLOOKUP(C11,index.html!C:C,index.html!D:D)," ")</f>
        <v xml:space="preserve"> </v>
      </c>
      <c r="E11" s="13" t="s">
        <v>444</v>
      </c>
      <c r="F11" s="11"/>
    </row>
    <row r="12" spans="1:6" ht="16.5">
      <c r="A12" s="10">
        <v>4</v>
      </c>
      <c r="B12" s="10" t="s">
        <v>973</v>
      </c>
      <c r="C12" s="14" t="s">
        <v>436</v>
      </c>
      <c r="D12" s="8" t="str">
        <f>IFERROR(_xlfn.XLOOKUP(C12,index.html!C:C,index.html!D:D)," ")</f>
        <v xml:space="preserve"> </v>
      </c>
      <c r="E12" s="14" t="s">
        <v>437</v>
      </c>
      <c r="F12" s="10"/>
    </row>
    <row r="13" spans="1:6" ht="16.5">
      <c r="A13" s="11">
        <v>5</v>
      </c>
      <c r="B13" s="11" t="s">
        <v>973</v>
      </c>
      <c r="C13" s="13" t="s">
        <v>354</v>
      </c>
      <c r="D13" s="8" t="str">
        <f>IFERROR(_xlfn.XLOOKUP(C13,index.html!C:C,index.html!D:D)," ")</f>
        <v xml:space="preserve"> </v>
      </c>
      <c r="E13" s="13" t="s">
        <v>438</v>
      </c>
      <c r="F13" s="11"/>
    </row>
    <row r="14" spans="1:6" ht="16.5">
      <c r="A14" s="10">
        <v>6</v>
      </c>
      <c r="B14" s="10" t="s">
        <v>973</v>
      </c>
      <c r="C14" s="14" t="s">
        <v>344</v>
      </c>
      <c r="D14" s="8" t="str">
        <f>IFERROR(_xlfn.XLOOKUP(C14,index.html!C:C,index.html!D:D)," ")</f>
        <v xml:space="preserve"> </v>
      </c>
      <c r="E14" s="14" t="s">
        <v>72</v>
      </c>
      <c r="F14" s="10"/>
    </row>
    <row r="15" spans="1:6" ht="16.5">
      <c r="A15" s="11">
        <v>7</v>
      </c>
      <c r="B15" s="11" t="s">
        <v>973</v>
      </c>
      <c r="C15" s="13" t="s">
        <v>439</v>
      </c>
      <c r="D15" s="8" t="str">
        <f>IFERROR(_xlfn.XLOOKUP(C15,index.html!C:C,index.html!D:D)," ")</f>
        <v xml:space="preserve"> </v>
      </c>
      <c r="E15" s="13" t="s">
        <v>161</v>
      </c>
      <c r="F15" s="11"/>
    </row>
    <row r="16" spans="1:6" ht="16.5">
      <c r="A16" s="10">
        <v>8</v>
      </c>
      <c r="B16" s="10" t="s">
        <v>973</v>
      </c>
      <c r="C16" s="14" t="s">
        <v>440</v>
      </c>
      <c r="D16" s="8" t="str">
        <f>IFERROR(_xlfn.XLOOKUP(C16,index.html!C:C,index.html!D:D)," ")</f>
        <v xml:space="preserve"> </v>
      </c>
      <c r="E16" s="14" t="s">
        <v>441</v>
      </c>
      <c r="F16" s="10"/>
    </row>
    <row r="17" spans="1:6" ht="16.5">
      <c r="A17" s="11">
        <v>9</v>
      </c>
      <c r="B17" s="11" t="s">
        <v>973</v>
      </c>
      <c r="C17" s="13" t="s">
        <v>79</v>
      </c>
      <c r="D17" s="8" t="str">
        <f>IFERROR(_xlfn.XLOOKUP(C17,index.html!C:C,index.html!D:D)," ")</f>
        <v>立即申请</v>
      </c>
      <c r="E17" s="13" t="s">
        <v>80</v>
      </c>
      <c r="F17" s="11"/>
    </row>
    <row r="18" spans="1:6" ht="16.5">
      <c r="A18" s="10">
        <v>10</v>
      </c>
      <c r="B18" s="10" t="s">
        <v>973</v>
      </c>
      <c r="C18" s="14" t="s">
        <v>1032</v>
      </c>
      <c r="D18" s="8" t="str">
        <f>IFERROR(_xlfn.XLOOKUP(C18,index.html!C:C,index.html!D:D)," ")</f>
        <v xml:space="preserve"> </v>
      </c>
      <c r="E18" s="14" t="s">
        <v>1031</v>
      </c>
      <c r="F18" s="10"/>
    </row>
    <row r="19" spans="1:6" ht="16.5">
      <c r="A19" s="11">
        <v>11</v>
      </c>
      <c r="B19" s="11" t="s">
        <v>360</v>
      </c>
      <c r="C19" s="13" t="s">
        <v>1033</v>
      </c>
      <c r="D19" s="8" t="str">
        <f>IFERROR(_xlfn.XLOOKUP(C19,index.html!C:C,index.html!D:D)," ")</f>
        <v xml:space="preserve"> </v>
      </c>
      <c r="E19" s="13" t="s">
        <v>1033</v>
      </c>
      <c r="F19" s="11"/>
    </row>
    <row r="20" spans="1:6" ht="67.5">
      <c r="A20" s="10">
        <v>12</v>
      </c>
      <c r="B20" s="10" t="s">
        <v>360</v>
      </c>
      <c r="C20" s="14" t="s">
        <v>1034</v>
      </c>
      <c r="D20" s="8" t="str">
        <f>IFERROR(_xlfn.XLOOKUP(C20,index.html!C:C,index.html!D:D)," ")</f>
        <v xml:space="preserve"> </v>
      </c>
      <c r="E20" s="14" t="s">
        <v>1035</v>
      </c>
      <c r="F20" s="10"/>
    </row>
    <row r="21" spans="1:6" ht="16.5">
      <c r="A21" s="11">
        <v>13</v>
      </c>
      <c r="B21" s="11" t="s">
        <v>93</v>
      </c>
      <c r="C21" s="13" t="s">
        <v>701</v>
      </c>
      <c r="D21" s="8" t="str">
        <f>IFERROR(_xlfn.XLOOKUP(C21,index.html!C:C,index.html!D:D)," ")</f>
        <v xml:space="preserve"> </v>
      </c>
      <c r="E21" s="13" t="s">
        <v>96</v>
      </c>
      <c r="F21" s="11"/>
    </row>
    <row r="22" spans="1:6" ht="16.5">
      <c r="A22" s="10">
        <v>14</v>
      </c>
      <c r="B22" s="10" t="s">
        <v>93</v>
      </c>
      <c r="C22" s="14" t="s">
        <v>1036</v>
      </c>
      <c r="D22" s="8" t="str">
        <f>IFERROR(_xlfn.XLOOKUP(C22,index.html!C:C,index.html!D:D)," ")</f>
        <v xml:space="preserve"> </v>
      </c>
      <c r="E22" s="14" t="s">
        <v>1037</v>
      </c>
      <c r="F22" s="10"/>
    </row>
    <row r="23" spans="1:6" ht="16.5">
      <c r="A23" s="11">
        <v>15</v>
      </c>
      <c r="B23" s="11" t="s">
        <v>1038</v>
      </c>
      <c r="C23" s="13" t="s">
        <v>1039</v>
      </c>
      <c r="D23" s="8" t="str">
        <f>IFERROR(_xlfn.XLOOKUP(C23,index.html!C:C,index.html!D:D)," ")</f>
        <v xml:space="preserve"> </v>
      </c>
      <c r="E23" s="13" t="s">
        <v>1040</v>
      </c>
      <c r="F23" s="11"/>
    </row>
    <row r="24" spans="1:6" ht="16.5">
      <c r="A24" s="10">
        <v>16</v>
      </c>
      <c r="B24" s="10" t="s">
        <v>1038</v>
      </c>
      <c r="C24" s="14" t="s">
        <v>1041</v>
      </c>
      <c r="D24" s="8" t="str">
        <f>IFERROR(_xlfn.XLOOKUP(C24,index.html!C:C,index.html!D:D)," ")</f>
        <v xml:space="preserve"> </v>
      </c>
      <c r="E24" s="14" t="s">
        <v>1042</v>
      </c>
      <c r="F24" s="10"/>
    </row>
    <row r="25" spans="1:6" ht="16.5">
      <c r="A25" s="11">
        <v>17</v>
      </c>
      <c r="B25" s="11" t="s">
        <v>1038</v>
      </c>
      <c r="C25" s="13" t="s">
        <v>1043</v>
      </c>
      <c r="D25" s="8" t="str">
        <f>IFERROR(_xlfn.XLOOKUP(C25,index.html!C:C,index.html!D:D)," ")</f>
        <v xml:space="preserve"> </v>
      </c>
      <c r="E25" s="13" t="s">
        <v>1044</v>
      </c>
      <c r="F25" s="11"/>
    </row>
    <row r="26" spans="1:6" ht="16.5">
      <c r="A26" s="10">
        <v>18</v>
      </c>
      <c r="B26" s="10" t="s">
        <v>1038</v>
      </c>
      <c r="C26" s="14" t="s">
        <v>845</v>
      </c>
      <c r="D26" s="8" t="str">
        <f>IFERROR(_xlfn.XLOOKUP(C26,index.html!C:C,index.html!D:D)," ")</f>
        <v xml:space="preserve"> </v>
      </c>
      <c r="E26" s="14" t="s">
        <v>846</v>
      </c>
      <c r="F26" s="10"/>
    </row>
    <row r="27" spans="1:6" ht="16.5">
      <c r="A27" s="11">
        <v>19</v>
      </c>
      <c r="B27" s="11" t="s">
        <v>1038</v>
      </c>
      <c r="C27" s="13" t="s">
        <v>1045</v>
      </c>
      <c r="D27" s="8" t="str">
        <f>IFERROR(_xlfn.XLOOKUP(C27,index.html!C:C,index.html!D:D)," ")</f>
        <v xml:space="preserve"> </v>
      </c>
      <c r="E27" s="13" t="s">
        <v>1046</v>
      </c>
      <c r="F27" s="11"/>
    </row>
    <row r="28" spans="1:6" ht="16.5">
      <c r="A28" s="10">
        <v>20</v>
      </c>
      <c r="B28" s="10" t="s">
        <v>59</v>
      </c>
      <c r="C28" s="14" t="s">
        <v>1047</v>
      </c>
      <c r="D28" s="8" t="str">
        <f>IFERROR(_xlfn.XLOOKUP(C28,index.html!C:C,index.html!D:D)," ")</f>
        <v xml:space="preserve"> </v>
      </c>
      <c r="E28" s="14" t="s">
        <v>1048</v>
      </c>
      <c r="F28" s="10"/>
    </row>
    <row r="29" spans="1:6" ht="51">
      <c r="A29" s="11">
        <v>21</v>
      </c>
      <c r="B29" s="11" t="s">
        <v>59</v>
      </c>
      <c r="C29" s="13" t="s">
        <v>1049</v>
      </c>
      <c r="D29" s="8" t="str">
        <f>IFERROR(_xlfn.XLOOKUP(C29,index.html!C:C,index.html!D:D)," ")</f>
        <v xml:space="preserve"> </v>
      </c>
      <c r="E29" s="13" t="s">
        <v>1050</v>
      </c>
      <c r="F29" s="11"/>
    </row>
    <row r="30" spans="1:6" ht="16.5">
      <c r="A30" s="10">
        <v>22</v>
      </c>
      <c r="B30" s="10" t="s">
        <v>147</v>
      </c>
      <c r="C30" s="14" t="s">
        <v>1051</v>
      </c>
      <c r="D30" s="8" t="str">
        <f>IFERROR(_xlfn.XLOOKUP(C30,index.html!C:C,index.html!D:D)," ")</f>
        <v xml:space="preserve"> </v>
      </c>
      <c r="E30" s="14" t="s">
        <v>1052</v>
      </c>
      <c r="F30" s="10"/>
    </row>
    <row r="31" spans="1:6" ht="51">
      <c r="A31" s="11">
        <v>23</v>
      </c>
      <c r="B31" s="11" t="s">
        <v>147</v>
      </c>
      <c r="C31" s="13" t="s">
        <v>1053</v>
      </c>
      <c r="D31" s="8" t="str">
        <f>IFERROR(_xlfn.XLOOKUP(C31,index.html!C:C,index.html!D:D)," ")</f>
        <v xml:space="preserve"> </v>
      </c>
      <c r="E31" s="13" t="s">
        <v>1054</v>
      </c>
      <c r="F31" s="11"/>
    </row>
    <row r="32" spans="1:6" ht="16.5">
      <c r="A32" s="10">
        <v>24</v>
      </c>
      <c r="B32" s="10" t="s">
        <v>147</v>
      </c>
      <c r="C32" s="14" t="s">
        <v>1055</v>
      </c>
      <c r="D32" s="8" t="str">
        <f>IFERROR(_xlfn.XLOOKUP(C32,index.html!C:C,index.html!D:D)," ")</f>
        <v xml:space="preserve"> </v>
      </c>
      <c r="E32" s="14" t="s">
        <v>1056</v>
      </c>
      <c r="F32" s="10"/>
    </row>
    <row r="33" spans="1:6" ht="33">
      <c r="A33" s="11">
        <v>25</v>
      </c>
      <c r="B33" s="11" t="s">
        <v>147</v>
      </c>
      <c r="C33" s="13" t="s">
        <v>1057</v>
      </c>
      <c r="D33" s="8" t="str">
        <f>IFERROR(_xlfn.XLOOKUP(C33,index.html!C:C,index.html!D:D)," ")</f>
        <v xml:space="preserve"> </v>
      </c>
      <c r="E33" s="13" t="s">
        <v>1058</v>
      </c>
      <c r="F33" s="11"/>
    </row>
    <row r="34" spans="1:6" ht="16.5">
      <c r="A34" s="10">
        <v>26</v>
      </c>
      <c r="B34" s="10" t="s">
        <v>147</v>
      </c>
      <c r="C34" s="14" t="s">
        <v>1059</v>
      </c>
      <c r="D34" s="8" t="str">
        <f>IFERROR(_xlfn.XLOOKUP(C34,index.html!C:C,index.html!D:D)," ")</f>
        <v xml:space="preserve"> </v>
      </c>
      <c r="E34" s="14" t="s">
        <v>1060</v>
      </c>
      <c r="F34" s="10"/>
    </row>
    <row r="35" spans="1:6" ht="33">
      <c r="A35" s="11">
        <v>27</v>
      </c>
      <c r="B35" s="11" t="s">
        <v>147</v>
      </c>
      <c r="C35" s="13" t="s">
        <v>1061</v>
      </c>
      <c r="D35" s="8" t="str">
        <f>IFERROR(_xlfn.XLOOKUP(C35,index.html!C:C,index.html!D:D)," ")</f>
        <v xml:space="preserve"> </v>
      </c>
      <c r="E35" s="13" t="s">
        <v>1062</v>
      </c>
      <c r="F35" s="11"/>
    </row>
    <row r="36" spans="1:6" ht="16.5">
      <c r="A36" s="10">
        <v>28</v>
      </c>
      <c r="B36" s="10" t="s">
        <v>147</v>
      </c>
      <c r="C36" s="14" t="s">
        <v>1063</v>
      </c>
      <c r="D36" s="8" t="str">
        <f>IFERROR(_xlfn.XLOOKUP(C36,index.html!C:C,index.html!D:D)," ")</f>
        <v xml:space="preserve"> </v>
      </c>
      <c r="E36" s="14" t="s">
        <v>870</v>
      </c>
      <c r="F36" s="10"/>
    </row>
    <row r="37" spans="1:6" ht="51">
      <c r="A37" s="11">
        <v>29</v>
      </c>
      <c r="B37" s="11" t="s">
        <v>147</v>
      </c>
      <c r="C37" s="13" t="s">
        <v>1064</v>
      </c>
      <c r="D37" s="8" t="str">
        <f>IFERROR(_xlfn.XLOOKUP(C37,index.html!C:C,index.html!D:D)," ")</f>
        <v xml:space="preserve"> </v>
      </c>
      <c r="E37" s="13" t="s">
        <v>1065</v>
      </c>
      <c r="F37" s="11"/>
    </row>
    <row r="38" spans="1:6" ht="16.5">
      <c r="A38" s="10">
        <v>30</v>
      </c>
      <c r="B38" s="10" t="s">
        <v>147</v>
      </c>
      <c r="C38" s="14" t="s">
        <v>1066</v>
      </c>
      <c r="D38" s="8" t="str">
        <f>IFERROR(_xlfn.XLOOKUP(C38,index.html!C:C,index.html!D:D)," ")</f>
        <v xml:space="preserve"> </v>
      </c>
      <c r="E38" s="14" t="s">
        <v>709</v>
      </c>
      <c r="F38" s="10"/>
    </row>
    <row r="39" spans="1:6" ht="51">
      <c r="A39" s="11">
        <v>31</v>
      </c>
      <c r="B39" s="11" t="s">
        <v>147</v>
      </c>
      <c r="C39" s="13" t="s">
        <v>1067</v>
      </c>
      <c r="D39" s="8" t="str">
        <f>IFERROR(_xlfn.XLOOKUP(C39,index.html!C:C,index.html!D:D)," ")</f>
        <v xml:space="preserve"> </v>
      </c>
      <c r="E39" s="13" t="s">
        <v>1068</v>
      </c>
      <c r="F39" s="11"/>
    </row>
    <row r="40" spans="1:6" ht="16.5">
      <c r="A40" s="10">
        <v>32</v>
      </c>
      <c r="B40" s="10" t="s">
        <v>147</v>
      </c>
      <c r="C40" s="14" t="s">
        <v>1069</v>
      </c>
      <c r="D40" s="8" t="str">
        <f>IFERROR(_xlfn.XLOOKUP(C40,index.html!C:C,index.html!D:D)," ")</f>
        <v xml:space="preserve"> </v>
      </c>
      <c r="E40" s="14" t="s">
        <v>1070</v>
      </c>
      <c r="F40" s="10"/>
    </row>
    <row r="41" spans="1:6" ht="33">
      <c r="A41" s="11">
        <v>33</v>
      </c>
      <c r="B41" s="11" t="s">
        <v>147</v>
      </c>
      <c r="C41" s="13" t="s">
        <v>1071</v>
      </c>
      <c r="D41" s="8" t="str">
        <f>IFERROR(_xlfn.XLOOKUP(C41,index.html!C:C,index.html!D:D)," ")</f>
        <v xml:space="preserve"> </v>
      </c>
      <c r="E41" s="13" t="s">
        <v>1072</v>
      </c>
      <c r="F41" s="11"/>
    </row>
    <row r="42" spans="1:6" ht="16.5">
      <c r="A42" s="10">
        <v>34</v>
      </c>
      <c r="B42" s="10" t="s">
        <v>1073</v>
      </c>
      <c r="C42" s="14" t="s">
        <v>1074</v>
      </c>
      <c r="D42" s="8" t="str">
        <f>IFERROR(_xlfn.XLOOKUP(C42,index.html!C:C,index.html!D:D)," ")</f>
        <v xml:space="preserve"> </v>
      </c>
      <c r="E42" s="14" t="s">
        <v>1075</v>
      </c>
      <c r="F42" s="10"/>
    </row>
    <row r="43" spans="1:6" ht="16.5">
      <c r="A43" s="11">
        <v>35</v>
      </c>
      <c r="B43" s="11" t="s">
        <v>377</v>
      </c>
      <c r="C43" s="13" t="s">
        <v>1076</v>
      </c>
      <c r="D43" s="8" t="str">
        <f>IFERROR(_xlfn.XLOOKUP(C43,index.html!C:C,index.html!D:D)," ")</f>
        <v xml:space="preserve"> </v>
      </c>
      <c r="E43" s="13" t="s">
        <v>1077</v>
      </c>
      <c r="F43" s="11"/>
    </row>
    <row r="44" spans="1:6" ht="100.5">
      <c r="A44" s="10">
        <v>36</v>
      </c>
      <c r="B44" s="10" t="s">
        <v>377</v>
      </c>
      <c r="C44" s="14" t="s">
        <v>1078</v>
      </c>
      <c r="D44" s="8" t="str">
        <f>IFERROR(_xlfn.XLOOKUP(C44,index.html!C:C,index.html!D:D)," ")</f>
        <v xml:space="preserve"> </v>
      </c>
      <c r="E44" s="14" t="s">
        <v>1079</v>
      </c>
      <c r="F44" s="10"/>
    </row>
    <row r="45" spans="1:6" ht="16.5">
      <c r="A45" s="11">
        <v>37</v>
      </c>
      <c r="B45" s="11" t="s">
        <v>1080</v>
      </c>
      <c r="C45" s="13" t="s">
        <v>1081</v>
      </c>
      <c r="D45" s="8" t="str">
        <f>IFERROR(_xlfn.XLOOKUP(C45,index.html!C:C,index.html!D:D)," ")</f>
        <v xml:space="preserve"> </v>
      </c>
      <c r="E45" s="13" t="s">
        <v>1082</v>
      </c>
      <c r="F45" s="11"/>
    </row>
    <row r="46" spans="1:6" ht="16.5">
      <c r="A46" s="10">
        <v>38</v>
      </c>
      <c r="B46" s="10" t="s">
        <v>1080</v>
      </c>
      <c r="C46" s="14" t="s">
        <v>1083</v>
      </c>
      <c r="D46" s="8" t="str">
        <f>IFERROR(_xlfn.XLOOKUP(C46,index.html!C:C,index.html!D:D)," ")</f>
        <v xml:space="preserve"> </v>
      </c>
      <c r="E46" s="14" t="s">
        <v>1084</v>
      </c>
      <c r="F46" s="10"/>
    </row>
    <row r="47" spans="1:6" ht="51">
      <c r="A47" s="11">
        <v>39</v>
      </c>
      <c r="B47" s="11" t="s">
        <v>1080</v>
      </c>
      <c r="C47" s="13" t="s">
        <v>1085</v>
      </c>
      <c r="D47" s="8" t="str">
        <f>IFERROR(_xlfn.XLOOKUP(C47,index.html!C:C,index.html!D:D)," ")</f>
        <v xml:space="preserve"> </v>
      </c>
      <c r="E47" s="13" t="s">
        <v>1086</v>
      </c>
      <c r="F47" s="11"/>
    </row>
    <row r="48" spans="1:6" ht="16.5">
      <c r="A48" s="10">
        <v>40</v>
      </c>
      <c r="B48" s="10" t="s">
        <v>1080</v>
      </c>
      <c r="C48" s="14" t="s">
        <v>1087</v>
      </c>
      <c r="D48" s="8" t="str">
        <f>IFERROR(_xlfn.XLOOKUP(C48,index.html!C:C,index.html!D:D)," ")</f>
        <v xml:space="preserve"> </v>
      </c>
      <c r="E48" s="14" t="s">
        <v>1088</v>
      </c>
      <c r="F48" s="10"/>
    </row>
    <row r="49" spans="1:6" ht="16.5">
      <c r="A49" s="11">
        <v>41</v>
      </c>
      <c r="B49" s="11" t="s">
        <v>1080</v>
      </c>
      <c r="C49" s="13" t="s">
        <v>1089</v>
      </c>
      <c r="D49" s="8" t="str">
        <f>IFERROR(_xlfn.XLOOKUP(C49,index.html!C:C,index.html!D:D)," ")</f>
        <v xml:space="preserve"> </v>
      </c>
      <c r="E49" s="13" t="s">
        <v>1090</v>
      </c>
      <c r="F49" s="11"/>
    </row>
    <row r="50" spans="1:6" ht="16.5">
      <c r="A50" s="10">
        <v>42</v>
      </c>
      <c r="B50" s="10" t="s">
        <v>1091</v>
      </c>
      <c r="C50" s="14" t="s">
        <v>1092</v>
      </c>
      <c r="D50" s="8" t="str">
        <f>IFERROR(_xlfn.XLOOKUP(C50,index.html!C:C,index.html!D:D)," ")</f>
        <v xml:space="preserve"> </v>
      </c>
      <c r="E50" s="14" t="s">
        <v>1093</v>
      </c>
      <c r="F50" s="10"/>
    </row>
    <row r="51" spans="1:6" ht="16.5">
      <c r="A51" s="11">
        <v>43</v>
      </c>
      <c r="B51" s="11" t="s">
        <v>1094</v>
      </c>
      <c r="C51" s="13" t="s">
        <v>845</v>
      </c>
      <c r="D51" s="8" t="str">
        <f>IFERROR(_xlfn.XLOOKUP(C51,index.html!C:C,index.html!D:D)," ")</f>
        <v xml:space="preserve"> </v>
      </c>
      <c r="E51" s="13" t="s">
        <v>846</v>
      </c>
      <c r="F51" s="11"/>
    </row>
    <row r="52" spans="1:6" ht="16.5">
      <c r="A52" s="10">
        <v>44</v>
      </c>
      <c r="B52" s="10" t="s">
        <v>391</v>
      </c>
      <c r="C52" s="14" t="s">
        <v>1076</v>
      </c>
      <c r="D52" s="8" t="str">
        <f>IFERROR(_xlfn.XLOOKUP(C52,index.html!C:C,index.html!D:D)," ")</f>
        <v xml:space="preserve"> </v>
      </c>
      <c r="E52" s="14" t="s">
        <v>1077</v>
      </c>
      <c r="F52" s="10"/>
    </row>
    <row r="53" spans="1:6" ht="84">
      <c r="A53" s="11">
        <v>45</v>
      </c>
      <c r="B53" s="11" t="s">
        <v>391</v>
      </c>
      <c r="C53" s="13" t="s">
        <v>1095</v>
      </c>
      <c r="D53" s="8" t="str">
        <f>IFERROR(_xlfn.XLOOKUP(C53,index.html!C:C,index.html!D:D)," ")</f>
        <v xml:space="preserve"> </v>
      </c>
      <c r="E53" s="13" t="s">
        <v>1096</v>
      </c>
      <c r="F53" s="11"/>
    </row>
    <row r="54" spans="1:6" ht="16.5">
      <c r="A54" s="10">
        <v>46</v>
      </c>
      <c r="B54" s="10" t="s">
        <v>1097</v>
      </c>
      <c r="C54" s="14" t="s">
        <v>1081</v>
      </c>
      <c r="D54" s="8" t="str">
        <f>IFERROR(_xlfn.XLOOKUP(C54,index.html!C:C,index.html!D:D)," ")</f>
        <v xml:space="preserve"> </v>
      </c>
      <c r="E54" s="14" t="s">
        <v>1082</v>
      </c>
      <c r="F54" s="10"/>
    </row>
    <row r="55" spans="1:6" ht="16.5">
      <c r="A55" s="11">
        <v>47</v>
      </c>
      <c r="B55" s="11" t="s">
        <v>1097</v>
      </c>
      <c r="C55" s="13" t="s">
        <v>1098</v>
      </c>
      <c r="D55" s="8" t="str">
        <f>IFERROR(_xlfn.XLOOKUP(C55,index.html!C:C,index.html!D:D)," ")</f>
        <v xml:space="preserve"> </v>
      </c>
      <c r="E55" s="13" t="s">
        <v>1099</v>
      </c>
      <c r="F55" s="11"/>
    </row>
    <row r="56" spans="1:6" ht="16.5">
      <c r="A56" s="10">
        <v>48</v>
      </c>
      <c r="B56" s="10" t="s">
        <v>1097</v>
      </c>
      <c r="C56" s="14" t="s">
        <v>1083</v>
      </c>
      <c r="D56" s="8" t="str">
        <f>IFERROR(_xlfn.XLOOKUP(C56,index.html!C:C,index.html!D:D)," ")</f>
        <v xml:space="preserve"> </v>
      </c>
      <c r="E56" s="14" t="s">
        <v>1084</v>
      </c>
      <c r="F56" s="10"/>
    </row>
    <row r="57" spans="1:6" ht="32.25">
      <c r="A57" s="11">
        <v>49</v>
      </c>
      <c r="B57" s="11" t="s">
        <v>1097</v>
      </c>
      <c r="C57" s="13" t="s">
        <v>1100</v>
      </c>
      <c r="D57" s="8" t="str">
        <f>IFERROR(_xlfn.XLOOKUP(C57,index.html!C:C,index.html!D:D)," ")</f>
        <v xml:space="preserve"> </v>
      </c>
      <c r="E57" s="13" t="s">
        <v>1101</v>
      </c>
      <c r="F57" s="11"/>
    </row>
    <row r="58" spans="1:6" ht="16.5">
      <c r="A58" s="10">
        <v>50</v>
      </c>
      <c r="B58" s="10" t="s">
        <v>1097</v>
      </c>
      <c r="C58" s="14" t="s">
        <v>1087</v>
      </c>
      <c r="D58" s="8" t="str">
        <f>IFERROR(_xlfn.XLOOKUP(C58,index.html!C:C,index.html!D:D)," ")</f>
        <v xml:space="preserve"> </v>
      </c>
      <c r="E58" s="14" t="s">
        <v>1088</v>
      </c>
      <c r="F58" s="10"/>
    </row>
    <row r="59" spans="1:6" ht="32.25">
      <c r="A59" s="11">
        <v>51</v>
      </c>
      <c r="B59" s="11" t="s">
        <v>1097</v>
      </c>
      <c r="C59" s="13" t="s">
        <v>1102</v>
      </c>
      <c r="D59" s="8" t="str">
        <f>IFERROR(_xlfn.XLOOKUP(C59,index.html!C:C,index.html!D:D)," ")</f>
        <v xml:space="preserve"> </v>
      </c>
      <c r="E59" s="13" t="s">
        <v>1103</v>
      </c>
      <c r="F59" s="11"/>
    </row>
    <row r="60" spans="1:6" ht="16.5">
      <c r="A60" s="10">
        <v>52</v>
      </c>
      <c r="B60" s="10" t="s">
        <v>1104</v>
      </c>
      <c r="C60" s="14" t="s">
        <v>1105</v>
      </c>
      <c r="D60" s="8" t="str">
        <f>IFERROR(_xlfn.XLOOKUP(C60,index.html!C:C,index.html!D:D)," ")</f>
        <v xml:space="preserve"> </v>
      </c>
      <c r="E60" s="14" t="s">
        <v>1106</v>
      </c>
      <c r="F60" s="10"/>
    </row>
    <row r="61" spans="1:6" ht="16.5">
      <c r="A61" s="11">
        <v>53</v>
      </c>
      <c r="B61" s="11" t="s">
        <v>1107</v>
      </c>
      <c r="C61" s="13" t="s">
        <v>1045</v>
      </c>
      <c r="D61" s="8" t="str">
        <f>IFERROR(_xlfn.XLOOKUP(C61,index.html!C:C,index.html!D:D)," ")</f>
        <v xml:space="preserve"> </v>
      </c>
      <c r="E61" s="13" t="s">
        <v>1046</v>
      </c>
      <c r="F61" s="11"/>
    </row>
    <row r="62" spans="1:6" ht="16.5">
      <c r="A62" s="10">
        <v>54</v>
      </c>
      <c r="B62" s="10" t="s">
        <v>405</v>
      </c>
      <c r="C62" s="14" t="s">
        <v>1076</v>
      </c>
      <c r="D62" s="8" t="str">
        <f>IFERROR(_xlfn.XLOOKUP(C62,index.html!C:C,index.html!D:D)," ")</f>
        <v xml:space="preserve"> </v>
      </c>
      <c r="E62" s="14" t="s">
        <v>1077</v>
      </c>
      <c r="F62" s="10"/>
    </row>
    <row r="63" spans="1:6" ht="51">
      <c r="A63" s="11">
        <v>55</v>
      </c>
      <c r="B63" s="11" t="s">
        <v>405</v>
      </c>
      <c r="C63" s="13" t="s">
        <v>1108</v>
      </c>
      <c r="D63" s="8" t="str">
        <f>IFERROR(_xlfn.XLOOKUP(C63,index.html!C:C,index.html!D:D)," ")</f>
        <v xml:space="preserve"> </v>
      </c>
      <c r="E63" s="13" t="s">
        <v>1109</v>
      </c>
      <c r="F63" s="11"/>
    </row>
    <row r="64" spans="1:6" ht="16.5">
      <c r="A64" s="10">
        <v>56</v>
      </c>
      <c r="B64" s="10" t="s">
        <v>1110</v>
      </c>
      <c r="C64" s="14" t="s">
        <v>1081</v>
      </c>
      <c r="D64" s="8" t="str">
        <f>IFERROR(_xlfn.XLOOKUP(C64,index.html!C:C,index.html!D:D)," ")</f>
        <v xml:space="preserve"> </v>
      </c>
      <c r="E64" s="14" t="s">
        <v>1082</v>
      </c>
      <c r="F64" s="10"/>
    </row>
    <row r="65" spans="1:6" ht="16.5">
      <c r="A65" s="11">
        <v>57</v>
      </c>
      <c r="B65" s="11" t="s">
        <v>1110</v>
      </c>
      <c r="C65" s="13" t="s">
        <v>1111</v>
      </c>
      <c r="D65" s="8" t="str">
        <f>IFERROR(_xlfn.XLOOKUP(C65,index.html!C:C,index.html!D:D)," ")</f>
        <v xml:space="preserve"> </v>
      </c>
      <c r="E65" s="13" t="s">
        <v>1112</v>
      </c>
      <c r="F65" s="11"/>
    </row>
    <row r="66" spans="1:6" ht="16.5">
      <c r="A66" s="10">
        <v>58</v>
      </c>
      <c r="B66" s="10" t="s">
        <v>1110</v>
      </c>
      <c r="C66" s="14" t="s">
        <v>1083</v>
      </c>
      <c r="D66" s="8" t="str">
        <f>IFERROR(_xlfn.XLOOKUP(C66,index.html!C:C,index.html!D:D)," ")</f>
        <v xml:space="preserve"> </v>
      </c>
      <c r="E66" s="14" t="s">
        <v>1084</v>
      </c>
      <c r="F66" s="10"/>
    </row>
    <row r="67" spans="1:6" ht="33">
      <c r="A67" s="11">
        <v>59</v>
      </c>
      <c r="B67" s="11" t="s">
        <v>1110</v>
      </c>
      <c r="C67" s="13" t="s">
        <v>1113</v>
      </c>
      <c r="D67" s="8" t="str">
        <f>IFERROR(_xlfn.XLOOKUP(C67,index.html!C:C,index.html!D:D)," ")</f>
        <v xml:space="preserve"> </v>
      </c>
      <c r="E67" s="13" t="s">
        <v>1114</v>
      </c>
      <c r="F67" s="11"/>
    </row>
    <row r="68" spans="1:6" ht="16.5">
      <c r="A68" s="10">
        <v>60</v>
      </c>
      <c r="B68" s="10" t="s">
        <v>1110</v>
      </c>
      <c r="C68" s="14" t="s">
        <v>1087</v>
      </c>
      <c r="D68" s="8" t="str">
        <f>IFERROR(_xlfn.XLOOKUP(C68,index.html!C:C,index.html!D:D)," ")</f>
        <v xml:space="preserve"> </v>
      </c>
      <c r="E68" s="14" t="s">
        <v>1088</v>
      </c>
      <c r="F68" s="10"/>
    </row>
    <row r="69" spans="1:6" ht="33">
      <c r="A69" s="11">
        <v>61</v>
      </c>
      <c r="B69" s="11" t="s">
        <v>1110</v>
      </c>
      <c r="C69" s="13" t="s">
        <v>1115</v>
      </c>
      <c r="D69" s="8" t="str">
        <f>IFERROR(_xlfn.XLOOKUP(C69,index.html!C:C,index.html!D:D)," ")</f>
        <v xml:space="preserve"> </v>
      </c>
      <c r="E69" s="13" t="s">
        <v>1116</v>
      </c>
      <c r="F69" s="11"/>
    </row>
    <row r="70" spans="1:6" ht="16.5">
      <c r="A70" s="10">
        <v>62</v>
      </c>
      <c r="B70" s="10" t="s">
        <v>1117</v>
      </c>
      <c r="C70" s="14" t="s">
        <v>1118</v>
      </c>
      <c r="D70" s="8" t="str">
        <f>IFERROR(_xlfn.XLOOKUP(C70,index.html!C:C,index.html!D:D)," ")</f>
        <v xml:space="preserve"> </v>
      </c>
      <c r="E70" s="14" t="s">
        <v>1119</v>
      </c>
      <c r="F70" s="10"/>
    </row>
    <row r="71" spans="1:6" ht="16.5">
      <c r="A71" s="11">
        <v>63</v>
      </c>
      <c r="B71" s="11" t="s">
        <v>1120</v>
      </c>
      <c r="C71" s="13" t="s">
        <v>1121</v>
      </c>
      <c r="D71" s="8" t="str">
        <f>IFERROR(_xlfn.XLOOKUP(C71,index.html!C:C,index.html!D:D)," ")</f>
        <v xml:space="preserve"> </v>
      </c>
      <c r="E71" s="13" t="s">
        <v>1122</v>
      </c>
      <c r="F71" s="11"/>
    </row>
    <row r="72" spans="1:6" ht="16.5">
      <c r="A72" s="10">
        <v>64</v>
      </c>
      <c r="B72" s="10" t="s">
        <v>1120</v>
      </c>
      <c r="C72" s="14" t="s">
        <v>1123</v>
      </c>
      <c r="D72" s="8" t="str">
        <f>IFERROR(_xlfn.XLOOKUP(C72,index.html!C:C,index.html!D:D)," ")</f>
        <v xml:space="preserve"> </v>
      </c>
      <c r="E72" s="14" t="s">
        <v>1124</v>
      </c>
      <c r="F72" s="10"/>
    </row>
    <row r="73" spans="1:6" ht="51">
      <c r="A73" s="11">
        <v>65</v>
      </c>
      <c r="B73" s="11" t="s">
        <v>1120</v>
      </c>
      <c r="C73" s="13" t="s">
        <v>1125</v>
      </c>
      <c r="D73" s="8" t="str">
        <f>IFERROR(_xlfn.XLOOKUP(C73,index.html!C:C,index.html!D:D)," ")</f>
        <v xml:space="preserve"> </v>
      </c>
      <c r="E73" s="13" t="s">
        <v>1126</v>
      </c>
      <c r="F73" s="11"/>
    </row>
    <row r="74" spans="1:6" ht="16.5">
      <c r="A74" s="10">
        <v>66</v>
      </c>
      <c r="B74" s="10" t="s">
        <v>1120</v>
      </c>
      <c r="C74" s="14" t="s">
        <v>1127</v>
      </c>
      <c r="D74" s="8" t="str">
        <f>IFERROR(_xlfn.XLOOKUP(C74,index.html!C:C,index.html!D:D)," ")</f>
        <v xml:space="preserve"> </v>
      </c>
      <c r="E74" s="14" t="s">
        <v>1128</v>
      </c>
      <c r="F74" s="10"/>
    </row>
    <row r="75" spans="1:6" ht="51">
      <c r="A75" s="11">
        <v>67</v>
      </c>
      <c r="B75" s="11" t="s">
        <v>1120</v>
      </c>
      <c r="C75" s="13" t="s">
        <v>1129</v>
      </c>
      <c r="D75" s="8" t="str">
        <f>IFERROR(_xlfn.XLOOKUP(C75,index.html!C:C,index.html!D:D)," ")</f>
        <v xml:space="preserve"> </v>
      </c>
      <c r="E75" s="13" t="s">
        <v>1130</v>
      </c>
      <c r="F75" s="11"/>
    </row>
    <row r="76" spans="1:6" ht="16.5">
      <c r="A76" s="10">
        <v>68</v>
      </c>
      <c r="B76" s="10" t="s">
        <v>1120</v>
      </c>
      <c r="C76" s="14" t="s">
        <v>1131</v>
      </c>
      <c r="D76" s="8" t="str">
        <f>IFERROR(_xlfn.XLOOKUP(C76,index.html!C:C,index.html!D:D)," ")</f>
        <v xml:space="preserve"> </v>
      </c>
      <c r="E76" s="14" t="s">
        <v>1132</v>
      </c>
      <c r="F76" s="10"/>
    </row>
    <row r="77" spans="1:6" ht="33">
      <c r="A77" s="11">
        <v>69</v>
      </c>
      <c r="B77" s="11" t="s">
        <v>1120</v>
      </c>
      <c r="C77" s="13" t="s">
        <v>1133</v>
      </c>
      <c r="D77" s="8" t="str">
        <f>IFERROR(_xlfn.XLOOKUP(C77,index.html!C:C,index.html!D:D)," ")</f>
        <v xml:space="preserve"> </v>
      </c>
      <c r="E77" s="13" t="s">
        <v>1134</v>
      </c>
      <c r="F77" s="11"/>
    </row>
    <row r="78" spans="1:6" ht="16.5">
      <c r="A78" s="10">
        <v>70</v>
      </c>
      <c r="B78" s="10" t="s">
        <v>1036</v>
      </c>
      <c r="C78" s="14" t="s">
        <v>1135</v>
      </c>
      <c r="D78" s="8" t="str">
        <f>IFERROR(_xlfn.XLOOKUP(C78,index.html!C:C,index.html!D:D)," ")</f>
        <v xml:space="preserve"> </v>
      </c>
      <c r="E78" s="14" t="s">
        <v>1136</v>
      </c>
      <c r="F78" s="10"/>
    </row>
    <row r="79" spans="1:6" ht="16.5">
      <c r="A79" s="11">
        <v>71</v>
      </c>
      <c r="B79" s="11" t="s">
        <v>1036</v>
      </c>
      <c r="C79" s="13" t="s">
        <v>1137</v>
      </c>
      <c r="D79" s="8" t="str">
        <f>IFERROR(_xlfn.XLOOKUP(C79,index.html!C:C,index.html!D:D)," ")</f>
        <v xml:space="preserve"> </v>
      </c>
      <c r="E79" s="13" t="s">
        <v>1138</v>
      </c>
      <c r="F79" s="11"/>
    </row>
    <row r="80" spans="1:6" ht="33">
      <c r="A80" s="10">
        <v>72</v>
      </c>
      <c r="B80" s="10" t="s">
        <v>1036</v>
      </c>
      <c r="C80" s="14" t="s">
        <v>1139</v>
      </c>
      <c r="D80" s="8" t="str">
        <f>IFERROR(_xlfn.XLOOKUP(C80,index.html!C:C,index.html!D:D)," ")</f>
        <v xml:space="preserve"> </v>
      </c>
      <c r="E80" s="14" t="s">
        <v>1140</v>
      </c>
      <c r="F80" s="10"/>
    </row>
    <row r="81" spans="1:6" ht="16.5">
      <c r="A81" s="11">
        <v>73</v>
      </c>
      <c r="B81" s="11" t="s">
        <v>1036</v>
      </c>
      <c r="C81" s="13" t="s">
        <v>1135</v>
      </c>
      <c r="D81" s="8" t="str">
        <f>IFERROR(_xlfn.XLOOKUP(C81,index.html!C:C,index.html!D:D)," ")</f>
        <v xml:space="preserve"> </v>
      </c>
      <c r="E81" s="13" t="s">
        <v>1136</v>
      </c>
      <c r="F81" s="11"/>
    </row>
    <row r="82" spans="1:6" ht="16.5">
      <c r="A82" s="10">
        <v>74</v>
      </c>
      <c r="B82" s="10" t="s">
        <v>1036</v>
      </c>
      <c r="C82" s="14" t="s">
        <v>1141</v>
      </c>
      <c r="D82" s="8" t="str">
        <f>IFERROR(_xlfn.XLOOKUP(C82,index.html!C:C,index.html!D:D)," ")</f>
        <v xml:space="preserve"> </v>
      </c>
      <c r="E82" s="14" t="s">
        <v>1142</v>
      </c>
      <c r="F82" s="10"/>
    </row>
    <row r="83" spans="1:6" ht="33">
      <c r="A83" s="11">
        <v>75</v>
      </c>
      <c r="B83" s="11" t="s">
        <v>1036</v>
      </c>
      <c r="C83" s="13" t="s">
        <v>1143</v>
      </c>
      <c r="D83" s="8" t="str">
        <f>IFERROR(_xlfn.XLOOKUP(C83,index.html!C:C,index.html!D:D)," ")</f>
        <v xml:space="preserve"> </v>
      </c>
      <c r="E83" s="13" t="s">
        <v>1144</v>
      </c>
      <c r="F83" s="11"/>
    </row>
    <row r="84" spans="1:6" ht="16.5">
      <c r="A84" s="10">
        <v>76</v>
      </c>
      <c r="B84" s="10" t="s">
        <v>1036</v>
      </c>
      <c r="C84" s="14" t="s">
        <v>1145</v>
      </c>
      <c r="D84" s="8" t="str">
        <f>IFERROR(_xlfn.XLOOKUP(C84,index.html!C:C,index.html!D:D)," ")</f>
        <v xml:space="preserve"> </v>
      </c>
      <c r="E84" s="14" t="s">
        <v>1146</v>
      </c>
      <c r="F84" s="10"/>
    </row>
    <row r="85" spans="1:6" ht="16.5">
      <c r="A85" s="11">
        <v>77</v>
      </c>
      <c r="B85" s="11" t="s">
        <v>1147</v>
      </c>
      <c r="C85" s="13" t="s">
        <v>1148</v>
      </c>
      <c r="D85" s="8" t="str">
        <f>IFERROR(_xlfn.XLOOKUP(C85,index.html!C:C,index.html!D:D)," ")</f>
        <v xml:space="preserve"> </v>
      </c>
      <c r="E85" s="13" t="s">
        <v>1149</v>
      </c>
      <c r="F85" s="11"/>
    </row>
    <row r="86" spans="1:6" ht="16.5">
      <c r="A86" s="10">
        <v>78</v>
      </c>
      <c r="B86" s="10" t="s">
        <v>1147</v>
      </c>
      <c r="C86" s="14" t="s">
        <v>701</v>
      </c>
      <c r="D86" s="8" t="str">
        <f>IFERROR(_xlfn.XLOOKUP(C86,index.html!C:C,index.html!D:D)," ")</f>
        <v xml:space="preserve"> </v>
      </c>
      <c r="E86" s="14" t="s">
        <v>96</v>
      </c>
      <c r="F86" s="10"/>
    </row>
    <row r="87" spans="1:6" ht="33">
      <c r="A87" s="11">
        <v>79</v>
      </c>
      <c r="B87" s="11" t="s">
        <v>1147</v>
      </c>
      <c r="C87" s="13" t="s">
        <v>1150</v>
      </c>
      <c r="D87" s="8" t="str">
        <f>IFERROR(_xlfn.XLOOKUP(C87,index.html!C:C,index.html!D:D)," ")</f>
        <v xml:space="preserve"> </v>
      </c>
      <c r="E87" s="13" t="s">
        <v>1151</v>
      </c>
      <c r="F87" s="11"/>
    </row>
    <row r="88" spans="1:6" ht="16.5">
      <c r="A88" s="10">
        <v>80</v>
      </c>
      <c r="B88" s="10" t="s">
        <v>1147</v>
      </c>
      <c r="C88" s="14" t="s">
        <v>952</v>
      </c>
      <c r="D88" s="8" t="str">
        <f>IFERROR(_xlfn.XLOOKUP(C88,index.html!C:C,index.html!D:D)," ")</f>
        <v xml:space="preserve"> </v>
      </c>
      <c r="E88" s="14" t="s">
        <v>70</v>
      </c>
      <c r="F88" s="10"/>
    </row>
    <row r="89" spans="1:6" ht="16.5">
      <c r="A89" s="11">
        <v>81</v>
      </c>
      <c r="B89" s="11" t="s">
        <v>1147</v>
      </c>
      <c r="C89" s="13" t="s">
        <v>953</v>
      </c>
      <c r="D89" s="8" t="str">
        <f>IFERROR(_xlfn.XLOOKUP(C89,index.html!C:C,index.html!D:D)," ")</f>
        <v xml:space="preserve"> </v>
      </c>
      <c r="E89" s="13" t="s">
        <v>955</v>
      </c>
      <c r="F89" s="11"/>
    </row>
    <row r="90" spans="1:6" ht="33">
      <c r="A90" s="10">
        <v>82</v>
      </c>
      <c r="B90" s="10" t="s">
        <v>1147</v>
      </c>
      <c r="C90" s="14" t="s">
        <v>1152</v>
      </c>
      <c r="D90" s="8" t="str">
        <f>IFERROR(_xlfn.XLOOKUP(C90,index.html!C:C,index.html!D:D)," ")</f>
        <v xml:space="preserve"> </v>
      </c>
      <c r="E90" s="14" t="s">
        <v>1153</v>
      </c>
      <c r="F90" s="10"/>
    </row>
    <row r="91" spans="1:6" ht="16.5">
      <c r="A91" s="11">
        <v>83</v>
      </c>
      <c r="B91" s="11" t="s">
        <v>1147</v>
      </c>
      <c r="C91" s="13" t="s">
        <v>958</v>
      </c>
      <c r="D91" s="8" t="str">
        <f>IFERROR(_xlfn.XLOOKUP(C91,index.html!C:C,index.html!D:D)," ")</f>
        <v xml:space="preserve"> </v>
      </c>
      <c r="E91" s="13" t="s">
        <v>960</v>
      </c>
      <c r="F91" s="11"/>
    </row>
    <row r="92" spans="1:6" ht="16.5">
      <c r="A92" s="10">
        <v>84</v>
      </c>
      <c r="B92" s="10" t="s">
        <v>1147</v>
      </c>
      <c r="C92" s="14" t="s">
        <v>961</v>
      </c>
      <c r="D92" s="8" t="str">
        <f>IFERROR(_xlfn.XLOOKUP(C92,index.html!C:C,index.html!D:D)," ")</f>
        <v xml:space="preserve"> </v>
      </c>
      <c r="E92" s="14" t="s">
        <v>962</v>
      </c>
      <c r="F92" s="10"/>
    </row>
    <row r="93" spans="1:6" ht="33">
      <c r="A93" s="11">
        <v>85</v>
      </c>
      <c r="B93" s="11" t="s">
        <v>1147</v>
      </c>
      <c r="C93" s="13" t="s">
        <v>1154</v>
      </c>
      <c r="D93" s="8" t="str">
        <f>IFERROR(_xlfn.XLOOKUP(C93,index.html!C:C,index.html!D:D)," ")</f>
        <v xml:space="preserve"> </v>
      </c>
      <c r="E93" s="13" t="s">
        <v>1155</v>
      </c>
      <c r="F93" s="11"/>
    </row>
    <row r="94" spans="1:6" ht="16.5">
      <c r="A94" s="10">
        <v>86</v>
      </c>
      <c r="B94" s="10" t="s">
        <v>1147</v>
      </c>
      <c r="C94" s="14" t="s">
        <v>601</v>
      </c>
      <c r="D94" s="8" t="str">
        <f>IFERROR(_xlfn.XLOOKUP(C94,index.html!C:C,index.html!D:D)," ")</f>
        <v xml:space="preserve"> </v>
      </c>
      <c r="E94" s="14" t="s">
        <v>602</v>
      </c>
      <c r="F94" s="10"/>
    </row>
    <row r="95" spans="1:6" ht="16.5">
      <c r="A95" s="11">
        <v>87</v>
      </c>
      <c r="B95" s="11" t="s">
        <v>352</v>
      </c>
      <c r="C95" s="13" t="s">
        <v>79</v>
      </c>
      <c r="D95" s="8" t="str">
        <f>IFERROR(_xlfn.XLOOKUP(C95,index.html!C:C,index.html!D:D)," ")</f>
        <v>立即申请</v>
      </c>
      <c r="E95" s="13" t="s">
        <v>80</v>
      </c>
      <c r="F95" s="11"/>
    </row>
    <row r="96" spans="1:6" ht="16.5">
      <c r="A96" s="10">
        <v>88</v>
      </c>
      <c r="B96" s="10" t="s">
        <v>352</v>
      </c>
      <c r="C96" s="14" t="s">
        <v>606</v>
      </c>
      <c r="D96" s="8" t="str">
        <f>IFERROR(_xlfn.XLOOKUP(C96,index.html!C:C,index.html!D:D)," ")</f>
        <v xml:space="preserve"> </v>
      </c>
      <c r="E96" s="14" t="s">
        <v>607</v>
      </c>
      <c r="F96" s="10"/>
    </row>
    <row r="97" spans="1:6" ht="16.5">
      <c r="A97" s="11">
        <v>89</v>
      </c>
      <c r="B97" s="11" t="s">
        <v>1156</v>
      </c>
      <c r="C97" s="13" t="s">
        <v>1157</v>
      </c>
      <c r="D97" s="8" t="str">
        <f>IFERROR(_xlfn.XLOOKUP(C97,index.html!C:C,index.html!D:D)," ")</f>
        <v xml:space="preserve"> </v>
      </c>
      <c r="E97" s="13" t="s">
        <v>1158</v>
      </c>
      <c r="F97" s="11"/>
    </row>
  </sheetData>
  <hyperlinks>
    <hyperlink ref="B4" r:id="rId1" xr:uid="{0AA975E2-C45E-438B-9186-C4E2ABD5DBF5}"/>
  </hyperlinks>
  <pageMargins left="0.75" right="0.75" top="1" bottom="1" header="0.5" footer="0.5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/>
  </sheetPr>
  <dimension ref="A1:F70"/>
  <sheetViews>
    <sheetView tabSelected="1" workbookViewId="0">
      <selection activeCell="A16" sqref="A16:XFD16"/>
    </sheetView>
  </sheetViews>
  <sheetFormatPr defaultRowHeight="15"/>
  <cols>
    <col min="1" max="1" width="12.5703125" bestFit="1" customWidth="1"/>
    <col min="2" max="2" width="47.85546875" bestFit="1" customWidth="1"/>
    <col min="3" max="3" width="45" customWidth="1"/>
    <col min="4" max="4" width="26.7109375" customWidth="1"/>
    <col min="5" max="5" width="45" customWidth="1"/>
    <col min="6" max="6" width="20" customWidth="1"/>
  </cols>
  <sheetData>
    <row r="1" spans="1:6">
      <c r="A1" s="12" t="s">
        <v>10</v>
      </c>
      <c r="B1" t="s">
        <v>11</v>
      </c>
    </row>
    <row r="2" spans="1:6">
      <c r="A2" s="12" t="s">
        <v>966</v>
      </c>
      <c r="B2" t="s">
        <v>30</v>
      </c>
    </row>
    <row r="3" spans="1:6">
      <c r="A3" s="12" t="s">
        <v>967</v>
      </c>
      <c r="B3" t="s">
        <v>96</v>
      </c>
    </row>
    <row r="4" spans="1:6">
      <c r="A4" s="12" t="s">
        <v>968</v>
      </c>
      <c r="B4" s="33" t="s">
        <v>31</v>
      </c>
    </row>
    <row r="5" spans="1:6">
      <c r="A5" s="12" t="s">
        <v>969</v>
      </c>
      <c r="B5">
        <v>62</v>
      </c>
    </row>
    <row r="6" spans="1:6">
      <c r="A6" s="12" t="s">
        <v>970</v>
      </c>
      <c r="B6" t="s">
        <v>14</v>
      </c>
    </row>
    <row r="7" spans="1:6">
      <c r="A7" s="12" t="s">
        <v>971</v>
      </c>
      <c r="B7" t="s">
        <v>50</v>
      </c>
    </row>
    <row r="8" spans="1:6">
      <c r="A8" s="35" t="s">
        <v>972</v>
      </c>
      <c r="B8" s="35" t="s">
        <v>59</v>
      </c>
      <c r="C8" s="34" t="s">
        <v>60</v>
      </c>
      <c r="D8" s="34" t="s">
        <v>61</v>
      </c>
      <c r="E8" s="34" t="s">
        <v>62</v>
      </c>
      <c r="F8" s="34" t="s">
        <v>63</v>
      </c>
    </row>
    <row r="9" spans="1:6" ht="16.5">
      <c r="A9" s="11">
        <v>1</v>
      </c>
      <c r="B9" s="11" t="s">
        <v>973</v>
      </c>
      <c r="C9" s="13" t="s">
        <v>96</v>
      </c>
      <c r="D9" s="8" t="str">
        <f>IFERROR(_xlfn.XLOOKUP(C9,index.html!C:C,index.html!D:D)," ")</f>
        <v xml:space="preserve"> </v>
      </c>
      <c r="E9" s="13" t="s">
        <v>96</v>
      </c>
      <c r="F9" s="11"/>
    </row>
    <row r="10" spans="1:6" ht="16.5">
      <c r="A10" s="10">
        <v>2</v>
      </c>
      <c r="B10" s="10" t="s">
        <v>360</v>
      </c>
      <c r="C10" s="14" t="s">
        <v>96</v>
      </c>
      <c r="D10" s="8" t="str">
        <f>IFERROR(_xlfn.XLOOKUP(C10,index.html!C:C,index.html!D:D)," ")</f>
        <v xml:space="preserve"> </v>
      </c>
      <c r="E10" s="14" t="s">
        <v>96</v>
      </c>
      <c r="F10" s="10"/>
    </row>
    <row r="11" spans="1:6" ht="81">
      <c r="A11" s="11">
        <v>3</v>
      </c>
      <c r="B11" s="11" t="s">
        <v>360</v>
      </c>
      <c r="C11" s="13" t="s">
        <v>1159</v>
      </c>
      <c r="D11" s="8" t="s">
        <v>1160</v>
      </c>
      <c r="E11" s="13" t="s">
        <v>1161</v>
      </c>
      <c r="F11" s="11"/>
    </row>
    <row r="12" spans="1:6" ht="16.5">
      <c r="A12" s="10">
        <v>4</v>
      </c>
      <c r="B12" s="10" t="s">
        <v>93</v>
      </c>
      <c r="C12" s="14" t="s">
        <v>1162</v>
      </c>
      <c r="D12" s="14" t="s">
        <v>1163</v>
      </c>
      <c r="E12" s="14" t="s">
        <v>1162</v>
      </c>
      <c r="F12" s="10"/>
    </row>
    <row r="13" spans="1:6" ht="16.5">
      <c r="A13" s="11">
        <v>5</v>
      </c>
      <c r="B13" s="11" t="s">
        <v>93</v>
      </c>
      <c r="C13" s="13" t="s">
        <v>1164</v>
      </c>
      <c r="D13" s="8" t="str">
        <f>IFERROR(_xlfn.XLOOKUP(C13,index.html!C:C,index.html!D:D)," ")</f>
        <v xml:space="preserve"> </v>
      </c>
      <c r="E13" s="13" t="s">
        <v>1164</v>
      </c>
      <c r="F13" s="11"/>
    </row>
    <row r="14" spans="1:6" ht="16.5">
      <c r="A14" s="10">
        <v>6</v>
      </c>
      <c r="B14" s="10" t="s">
        <v>93</v>
      </c>
      <c r="C14" s="14" t="s">
        <v>1030</v>
      </c>
      <c r="D14" s="14" t="s">
        <v>1165</v>
      </c>
      <c r="E14" s="14" t="s">
        <v>1030</v>
      </c>
      <c r="F14" s="14" t="s">
        <v>1165</v>
      </c>
    </row>
    <row r="15" spans="1:6" ht="16.5">
      <c r="A15" s="11">
        <v>7</v>
      </c>
      <c r="B15" s="11" t="s">
        <v>1166</v>
      </c>
      <c r="C15" s="13" t="s">
        <v>1167</v>
      </c>
      <c r="D15" s="8" t="s">
        <v>1168</v>
      </c>
      <c r="E15" s="13" t="s">
        <v>1167</v>
      </c>
      <c r="F15" s="8" t="s">
        <v>1169</v>
      </c>
    </row>
    <row r="16" spans="1:6" ht="16.5">
      <c r="A16" s="10">
        <v>8</v>
      </c>
      <c r="B16" s="10" t="s">
        <v>1166</v>
      </c>
      <c r="C16" s="14" t="s">
        <v>1170</v>
      </c>
      <c r="D16" s="8" t="str">
        <f>IFERROR(_xlfn.XLOOKUP(C16,index.html!C:C,index.html!D:D)," ")</f>
        <v xml:space="preserve"> </v>
      </c>
      <c r="E16" s="14" t="s">
        <v>1170</v>
      </c>
      <c r="F16" s="10"/>
    </row>
    <row r="17" spans="1:6" ht="16.5">
      <c r="A17" s="11">
        <v>9</v>
      </c>
      <c r="B17" s="11" t="s">
        <v>1166</v>
      </c>
      <c r="C17" s="13" t="s">
        <v>1171</v>
      </c>
      <c r="D17" s="8" t="str">
        <f>IFERROR(_xlfn.XLOOKUP(C17,index.html!C:C,index.html!D:D)," ")</f>
        <v xml:space="preserve"> </v>
      </c>
      <c r="E17" s="13" t="s">
        <v>1171</v>
      </c>
      <c r="F17" s="11"/>
    </row>
    <row r="18" spans="1:6" ht="16.5">
      <c r="A18" s="10">
        <v>10</v>
      </c>
      <c r="B18" s="10" t="s">
        <v>1166</v>
      </c>
      <c r="C18" s="14" t="s">
        <v>1172</v>
      </c>
      <c r="D18" s="8" t="str">
        <f>IFERROR(_xlfn.XLOOKUP(C18,index.html!C:C,index.html!D:D)," ")</f>
        <v xml:space="preserve"> </v>
      </c>
      <c r="E18" s="14" t="s">
        <v>1172</v>
      </c>
      <c r="F18" s="10"/>
    </row>
    <row r="19" spans="1:6" ht="16.5">
      <c r="A19" s="11">
        <v>11</v>
      </c>
      <c r="B19" s="11" t="s">
        <v>1166</v>
      </c>
      <c r="C19" s="13" t="s">
        <v>1173</v>
      </c>
      <c r="D19" s="8" t="str">
        <f>IFERROR(_xlfn.XLOOKUP(C19,index.html!C:C,index.html!D:D)," ")</f>
        <v xml:space="preserve"> </v>
      </c>
      <c r="E19" s="13" t="s">
        <v>1173</v>
      </c>
      <c r="F19" s="11"/>
    </row>
    <row r="20" spans="1:6" ht="16.5">
      <c r="A20" s="10">
        <v>12</v>
      </c>
      <c r="B20" s="10" t="s">
        <v>1166</v>
      </c>
      <c r="C20" s="14" t="s">
        <v>1174</v>
      </c>
      <c r="D20" s="8" t="str">
        <f>IFERROR(_xlfn.XLOOKUP(C20,index.html!C:C,index.html!D:D)," ")</f>
        <v xml:space="preserve"> </v>
      </c>
      <c r="E20" s="14" t="s">
        <v>1174</v>
      </c>
      <c r="F20" s="10"/>
    </row>
    <row r="21" spans="1:6" ht="16.5">
      <c r="A21" s="11">
        <v>13</v>
      </c>
      <c r="B21" s="11" t="s">
        <v>1166</v>
      </c>
      <c r="C21" s="13" t="s">
        <v>1175</v>
      </c>
      <c r="D21" s="8" t="str">
        <f>IFERROR(_xlfn.XLOOKUP(C21,index.html!C:C,index.html!D:D)," ")</f>
        <v xml:space="preserve"> </v>
      </c>
      <c r="E21" s="13" t="s">
        <v>1176</v>
      </c>
      <c r="F21" s="11"/>
    </row>
    <row r="22" spans="1:6" ht="16.5">
      <c r="A22" s="10">
        <v>14</v>
      </c>
      <c r="B22" s="10" t="s">
        <v>1166</v>
      </c>
      <c r="C22" s="14" t="s">
        <v>1177</v>
      </c>
      <c r="D22" s="8" t="str">
        <f>IFERROR(_xlfn.XLOOKUP(C22,index.html!C:C,index.html!D:D)," ")</f>
        <v xml:space="preserve"> </v>
      </c>
      <c r="E22" s="14" t="s">
        <v>1178</v>
      </c>
      <c r="F22" s="10"/>
    </row>
    <row r="23" spans="1:6" ht="16.5">
      <c r="A23" s="11">
        <v>15</v>
      </c>
      <c r="B23" s="11" t="s">
        <v>1166</v>
      </c>
      <c r="C23" s="13" t="s">
        <v>1179</v>
      </c>
      <c r="D23" s="8" t="str">
        <f>IFERROR(_xlfn.XLOOKUP(C23,index.html!C:C,index.html!D:D)," ")</f>
        <v xml:space="preserve"> </v>
      </c>
      <c r="E23" s="13" t="s">
        <v>1180</v>
      </c>
      <c r="F23" s="11"/>
    </row>
    <row r="24" spans="1:6" ht="16.5">
      <c r="A24" s="10">
        <v>16</v>
      </c>
      <c r="B24" s="10" t="s">
        <v>1166</v>
      </c>
      <c r="C24" s="14" t="s">
        <v>1181</v>
      </c>
      <c r="D24" s="8" t="str">
        <f>IFERROR(_xlfn.XLOOKUP(C24,index.html!C:C,index.html!D:D)," ")</f>
        <v xml:space="preserve"> </v>
      </c>
      <c r="E24" s="14" t="s">
        <v>1181</v>
      </c>
      <c r="F24" s="10"/>
    </row>
    <row r="25" spans="1:6" ht="16.5">
      <c r="A25" s="11">
        <v>17</v>
      </c>
      <c r="B25" s="11" t="s">
        <v>1166</v>
      </c>
      <c r="C25" s="13" t="s">
        <v>1182</v>
      </c>
      <c r="D25" s="8" t="s">
        <v>1183</v>
      </c>
      <c r="E25" s="13" t="s">
        <v>1182</v>
      </c>
      <c r="F25" s="11"/>
    </row>
    <row r="26" spans="1:6" ht="16.5">
      <c r="A26" s="10">
        <v>18</v>
      </c>
      <c r="B26" s="10" t="s">
        <v>1166</v>
      </c>
      <c r="C26" s="14" t="s">
        <v>1184</v>
      </c>
      <c r="D26" s="8" t="str">
        <f>IFERROR(_xlfn.XLOOKUP(C26,index.html!C:C,index.html!D:D)," ")</f>
        <v xml:space="preserve"> </v>
      </c>
      <c r="E26" s="14" t="s">
        <v>1184</v>
      </c>
      <c r="F26" s="10"/>
    </row>
    <row r="27" spans="1:6" ht="16.5">
      <c r="A27" s="11">
        <v>19</v>
      </c>
      <c r="B27" s="11" t="s">
        <v>1166</v>
      </c>
      <c r="C27" s="13" t="s">
        <v>1185</v>
      </c>
      <c r="D27" s="8" t="str">
        <f>IFERROR(_xlfn.XLOOKUP(C27,index.html!C:C,index.html!D:D)," ")</f>
        <v xml:space="preserve"> </v>
      </c>
      <c r="E27" s="13" t="s">
        <v>1185</v>
      </c>
      <c r="F27" s="11"/>
    </row>
    <row r="28" spans="1:6" ht="16.5">
      <c r="A28" s="10">
        <v>20</v>
      </c>
      <c r="B28" s="10" t="s">
        <v>1166</v>
      </c>
      <c r="C28" s="14" t="s">
        <v>1186</v>
      </c>
      <c r="D28" s="8" t="str">
        <f>IFERROR(_xlfn.XLOOKUP(C28,index.html!C:C,index.html!D:D)," ")</f>
        <v xml:space="preserve"> </v>
      </c>
      <c r="E28" s="14" t="s">
        <v>1186</v>
      </c>
      <c r="F28" s="10"/>
    </row>
    <row r="29" spans="1:6" ht="16.5">
      <c r="A29" s="11">
        <v>21</v>
      </c>
      <c r="B29" s="11" t="s">
        <v>1166</v>
      </c>
      <c r="C29" s="13" t="s">
        <v>976</v>
      </c>
      <c r="D29" s="46" t="s">
        <v>1187</v>
      </c>
      <c r="E29" s="13" t="s">
        <v>976</v>
      </c>
      <c r="F29" s="46" t="s">
        <v>1187</v>
      </c>
    </row>
    <row r="30" spans="1:6" ht="16.5">
      <c r="A30" s="10">
        <v>22</v>
      </c>
      <c r="B30" s="10" t="s">
        <v>1166</v>
      </c>
      <c r="C30" s="14" t="s">
        <v>1188</v>
      </c>
      <c r="D30" s="8" t="str">
        <f>IFERROR(_xlfn.XLOOKUP(C30,index.html!C:C,index.html!D:D)," ")</f>
        <v xml:space="preserve"> </v>
      </c>
      <c r="E30" s="14" t="s">
        <v>1188</v>
      </c>
      <c r="F30" s="10"/>
    </row>
    <row r="31" spans="1:6" ht="16.5">
      <c r="A31" s="11">
        <v>23</v>
      </c>
      <c r="B31" s="11" t="s">
        <v>1166</v>
      </c>
      <c r="C31" s="13" t="s">
        <v>80</v>
      </c>
      <c r="D31" s="8" t="str">
        <f>IFERROR(_xlfn.XLOOKUP(C31,index.html!C:C,index.html!D:D)," ")</f>
        <v xml:space="preserve"> </v>
      </c>
      <c r="E31" s="13" t="s">
        <v>80</v>
      </c>
      <c r="F31" s="11"/>
    </row>
    <row r="32" spans="1:6" ht="16.5">
      <c r="A32" s="10">
        <v>24</v>
      </c>
      <c r="B32" s="10" t="s">
        <v>1189</v>
      </c>
      <c r="C32" s="14" t="s">
        <v>1190</v>
      </c>
      <c r="D32" s="8" t="s">
        <v>1191</v>
      </c>
      <c r="E32" s="14" t="s">
        <v>1190</v>
      </c>
      <c r="F32" s="8" t="s">
        <v>1191</v>
      </c>
    </row>
    <row r="33" spans="1:6" ht="16.5">
      <c r="A33" s="11">
        <v>25</v>
      </c>
      <c r="B33" s="11" t="s">
        <v>1189</v>
      </c>
      <c r="C33" s="13" t="s">
        <v>1170</v>
      </c>
      <c r="D33" s="8" t="str">
        <f>IFERROR(_xlfn.XLOOKUP(C33,index.html!C:C,index.html!D:D)," ")</f>
        <v xml:space="preserve"> </v>
      </c>
      <c r="E33" s="13" t="s">
        <v>1170</v>
      </c>
      <c r="F33" s="11"/>
    </row>
    <row r="34" spans="1:6" ht="16.5">
      <c r="A34" s="10">
        <v>26</v>
      </c>
      <c r="B34" s="10" t="s">
        <v>1189</v>
      </c>
      <c r="C34" s="14" t="s">
        <v>1192</v>
      </c>
      <c r="D34" s="8" t="str">
        <f>IFERROR(_xlfn.XLOOKUP(C34,index.html!C:C,index.html!D:D)," ")</f>
        <v xml:space="preserve"> </v>
      </c>
      <c r="E34" s="14" t="s">
        <v>1192</v>
      </c>
      <c r="F34" s="10"/>
    </row>
    <row r="35" spans="1:6" ht="16.5">
      <c r="A35" s="11">
        <v>27</v>
      </c>
      <c r="B35" s="11" t="s">
        <v>1189</v>
      </c>
      <c r="C35" s="13" t="s">
        <v>1193</v>
      </c>
      <c r="D35" s="8" t="str">
        <f>IFERROR(_xlfn.XLOOKUP(C35,index.html!C:C,index.html!D:D)," ")</f>
        <v xml:space="preserve"> </v>
      </c>
      <c r="E35" s="13" t="s">
        <v>1193</v>
      </c>
      <c r="F35" s="11"/>
    </row>
    <row r="36" spans="1:6" ht="16.5">
      <c r="A36" s="10">
        <v>28</v>
      </c>
      <c r="B36" s="10" t="s">
        <v>1189</v>
      </c>
      <c r="C36" s="14" t="s">
        <v>1173</v>
      </c>
      <c r="D36" s="8" t="str">
        <f>IFERROR(_xlfn.XLOOKUP(C36,index.html!C:C,index.html!D:D)," ")</f>
        <v xml:space="preserve"> </v>
      </c>
      <c r="E36" s="14" t="s">
        <v>1173</v>
      </c>
      <c r="F36" s="10"/>
    </row>
    <row r="37" spans="1:6" ht="16.5">
      <c r="A37" s="11">
        <v>29</v>
      </c>
      <c r="B37" s="11" t="s">
        <v>1189</v>
      </c>
      <c r="C37" s="13" t="s">
        <v>1174</v>
      </c>
      <c r="D37" s="8" t="str">
        <f>IFERROR(_xlfn.XLOOKUP(C37,index.html!C:C,index.html!D:D)," ")</f>
        <v xml:space="preserve"> </v>
      </c>
      <c r="E37" s="13" t="s">
        <v>1174</v>
      </c>
      <c r="F37" s="11"/>
    </row>
    <row r="38" spans="1:6" ht="33">
      <c r="A38" s="10">
        <v>30</v>
      </c>
      <c r="B38" s="10" t="s">
        <v>1189</v>
      </c>
      <c r="C38" s="14" t="s">
        <v>1194</v>
      </c>
      <c r="D38" s="14" t="s">
        <v>1195</v>
      </c>
      <c r="E38" s="14" t="s">
        <v>1196</v>
      </c>
      <c r="F38" s="14" t="s">
        <v>1195</v>
      </c>
    </row>
    <row r="39" spans="1:6" ht="16.5">
      <c r="A39" s="11">
        <v>31</v>
      </c>
      <c r="B39" s="11" t="s">
        <v>1189</v>
      </c>
      <c r="C39" s="13" t="s">
        <v>1197</v>
      </c>
      <c r="D39" s="8" t="str">
        <f>IFERROR(_xlfn.XLOOKUP(C39,index.html!C:C,index.html!D:D)," ")</f>
        <v xml:space="preserve"> </v>
      </c>
      <c r="E39" s="13" t="s">
        <v>1198</v>
      </c>
      <c r="F39" s="11"/>
    </row>
    <row r="40" spans="1:6" ht="16.5">
      <c r="A40" s="10">
        <v>32</v>
      </c>
      <c r="B40" s="10" t="s">
        <v>1189</v>
      </c>
      <c r="C40" s="14" t="s">
        <v>1199</v>
      </c>
      <c r="D40" s="8" t="str">
        <f>IFERROR(_xlfn.XLOOKUP(C40,index.html!C:C,index.html!D:D)," ")</f>
        <v xml:space="preserve"> </v>
      </c>
      <c r="E40" s="14" t="s">
        <v>1200</v>
      </c>
      <c r="F40" s="10"/>
    </row>
    <row r="41" spans="1:6" ht="16.5">
      <c r="A41" s="11">
        <v>33</v>
      </c>
      <c r="B41" s="11" t="s">
        <v>1189</v>
      </c>
      <c r="C41" s="13" t="s">
        <v>1201</v>
      </c>
      <c r="D41" s="8" t="str">
        <f>IFERROR(_xlfn.XLOOKUP(C41,index.html!C:C,index.html!D:D)," ")</f>
        <v xml:space="preserve"> </v>
      </c>
      <c r="E41" s="13" t="s">
        <v>1201</v>
      </c>
      <c r="F41" s="11"/>
    </row>
    <row r="42" spans="1:6" ht="16.5">
      <c r="A42" s="10">
        <v>34</v>
      </c>
      <c r="B42" s="10" t="s">
        <v>1189</v>
      </c>
      <c r="C42" s="14" t="s">
        <v>1202</v>
      </c>
      <c r="D42" s="8" t="str">
        <f>IFERROR(_xlfn.XLOOKUP(C42,index.html!C:C,index.html!D:D)," ")</f>
        <v xml:space="preserve"> </v>
      </c>
      <c r="E42" s="14" t="s">
        <v>1202</v>
      </c>
      <c r="F42" s="10"/>
    </row>
    <row r="43" spans="1:6" ht="16.5">
      <c r="A43" s="11">
        <v>35</v>
      </c>
      <c r="B43" s="11" t="s">
        <v>1189</v>
      </c>
      <c r="C43" s="13" t="s">
        <v>1203</v>
      </c>
      <c r="D43" s="8" t="str">
        <f>IFERROR(_xlfn.XLOOKUP(C43,index.html!C:C,index.html!D:D)," ")</f>
        <v xml:space="preserve"> </v>
      </c>
      <c r="E43" s="13" t="s">
        <v>1203</v>
      </c>
      <c r="F43" s="11"/>
    </row>
    <row r="44" spans="1:6" ht="16.5">
      <c r="A44" s="10">
        <v>36</v>
      </c>
      <c r="B44" s="10" t="s">
        <v>1189</v>
      </c>
      <c r="C44" s="14" t="s">
        <v>1204</v>
      </c>
      <c r="D44" s="8" t="str">
        <f>IFERROR(_xlfn.XLOOKUP(C44,index.html!C:C,index.html!D:D)," ")</f>
        <v xml:space="preserve"> </v>
      </c>
      <c r="E44" s="14" t="s">
        <v>1204</v>
      </c>
      <c r="F44" s="10"/>
    </row>
    <row r="45" spans="1:6" ht="16.5">
      <c r="A45" s="11">
        <v>37</v>
      </c>
      <c r="B45" s="11" t="s">
        <v>1189</v>
      </c>
      <c r="C45" s="13" t="s">
        <v>1205</v>
      </c>
      <c r="D45" s="8" t="str">
        <f>IFERROR(_xlfn.XLOOKUP(C45,index.html!C:C,index.html!D:D)," ")</f>
        <v xml:space="preserve"> </v>
      </c>
      <c r="E45" s="13" t="s">
        <v>1205</v>
      </c>
      <c r="F45" s="11"/>
    </row>
    <row r="46" spans="1:6" ht="16.5">
      <c r="A46" s="10">
        <v>38</v>
      </c>
      <c r="B46" s="10" t="s">
        <v>1189</v>
      </c>
      <c r="C46" s="14" t="s">
        <v>976</v>
      </c>
      <c r="D46" s="46" t="s">
        <v>1187</v>
      </c>
      <c r="E46" s="14" t="s">
        <v>976</v>
      </c>
      <c r="F46" s="46" t="s">
        <v>1187</v>
      </c>
    </row>
    <row r="47" spans="1:6" ht="16.5">
      <c r="A47" s="11">
        <v>39</v>
      </c>
      <c r="B47" s="11" t="s">
        <v>1189</v>
      </c>
      <c r="C47" s="13" t="s">
        <v>1188</v>
      </c>
      <c r="D47" s="8" t="str">
        <f>IFERROR(_xlfn.XLOOKUP(C47,index.html!C:C,index.html!D:D)," ")</f>
        <v xml:space="preserve"> </v>
      </c>
      <c r="E47" s="13" t="s">
        <v>1188</v>
      </c>
      <c r="F47" s="11"/>
    </row>
    <row r="48" spans="1:6" ht="16.5">
      <c r="A48" s="10">
        <v>40</v>
      </c>
      <c r="B48" s="10" t="s">
        <v>1189</v>
      </c>
      <c r="C48" s="14" t="s">
        <v>80</v>
      </c>
      <c r="D48" s="8" t="str">
        <f>IFERROR(_xlfn.XLOOKUP(C48,index.html!C:C,index.html!D:D)," ")</f>
        <v xml:space="preserve"> </v>
      </c>
      <c r="E48" s="14" t="s">
        <v>80</v>
      </c>
      <c r="F48" s="10"/>
    </row>
    <row r="49" spans="1:6" ht="16.5">
      <c r="A49" s="11">
        <v>41</v>
      </c>
      <c r="B49" s="11" t="s">
        <v>1206</v>
      </c>
      <c r="C49" s="13" t="s">
        <v>1207</v>
      </c>
      <c r="D49" s="8" t="str">
        <f>IFERROR(_xlfn.XLOOKUP(C49,index.html!C:C,index.html!D:D)," ")</f>
        <v xml:space="preserve"> </v>
      </c>
      <c r="E49" s="13" t="s">
        <v>1207</v>
      </c>
      <c r="F49" s="11"/>
    </row>
    <row r="50" spans="1:6" ht="16.5">
      <c r="A50" s="10">
        <v>42</v>
      </c>
      <c r="B50" s="10" t="s">
        <v>1206</v>
      </c>
      <c r="C50" s="14" t="s">
        <v>1170</v>
      </c>
      <c r="D50" s="8" t="str">
        <f>IFERROR(_xlfn.XLOOKUP(C50,index.html!C:C,index.html!D:D)," ")</f>
        <v xml:space="preserve"> </v>
      </c>
      <c r="E50" s="14" t="s">
        <v>1170</v>
      </c>
      <c r="F50" s="10"/>
    </row>
    <row r="51" spans="1:6" ht="16.5">
      <c r="A51" s="11">
        <v>43</v>
      </c>
      <c r="B51" s="11" t="s">
        <v>1206</v>
      </c>
      <c r="C51" s="13" t="s">
        <v>1208</v>
      </c>
      <c r="D51" s="8" t="str">
        <f>IFERROR(_xlfn.XLOOKUP(C51,index.html!C:C,index.html!D:D)," ")</f>
        <v xml:space="preserve"> </v>
      </c>
      <c r="E51" s="13" t="s">
        <v>1208</v>
      </c>
      <c r="F51" s="11"/>
    </row>
    <row r="52" spans="1:6" ht="16.5">
      <c r="A52" s="10">
        <v>44</v>
      </c>
      <c r="B52" s="10" t="s">
        <v>1206</v>
      </c>
      <c r="C52" s="14" t="s">
        <v>1209</v>
      </c>
      <c r="D52" s="8" t="str">
        <f>IFERROR(_xlfn.XLOOKUP(C52,index.html!C:C,index.html!D:D)," ")</f>
        <v xml:space="preserve"> </v>
      </c>
      <c r="E52" s="14" t="s">
        <v>1209</v>
      </c>
      <c r="F52" s="10"/>
    </row>
    <row r="53" spans="1:6" ht="16.5">
      <c r="A53" s="11">
        <v>45</v>
      </c>
      <c r="B53" s="11" t="s">
        <v>1206</v>
      </c>
      <c r="C53" s="13" t="s">
        <v>1173</v>
      </c>
      <c r="D53" s="8" t="str">
        <f>IFERROR(_xlfn.XLOOKUP(C53,index.html!C:C,index.html!D:D)," ")</f>
        <v xml:space="preserve"> </v>
      </c>
      <c r="E53" s="13" t="s">
        <v>1173</v>
      </c>
      <c r="F53" s="11"/>
    </row>
    <row r="54" spans="1:6" ht="16.5">
      <c r="A54" s="10">
        <v>46</v>
      </c>
      <c r="B54" s="10" t="s">
        <v>1206</v>
      </c>
      <c r="C54" s="14" t="s">
        <v>1210</v>
      </c>
      <c r="D54" s="8" t="s">
        <v>1211</v>
      </c>
      <c r="E54" s="14" t="s">
        <v>1210</v>
      </c>
      <c r="F54" s="10"/>
    </row>
    <row r="55" spans="1:6" ht="16.5">
      <c r="A55" s="11">
        <v>47</v>
      </c>
      <c r="B55" s="11" t="s">
        <v>1206</v>
      </c>
      <c r="C55" s="13" t="s">
        <v>1212</v>
      </c>
      <c r="D55" s="8" t="str">
        <f>IFERROR(_xlfn.XLOOKUP(C55,index.html!C:C,index.html!D:D)," ")</f>
        <v xml:space="preserve"> </v>
      </c>
      <c r="E55" s="13" t="s">
        <v>1213</v>
      </c>
      <c r="F55" s="11"/>
    </row>
    <row r="56" spans="1:6" ht="16.5">
      <c r="A56" s="10">
        <v>48</v>
      </c>
      <c r="B56" s="10" t="s">
        <v>1206</v>
      </c>
      <c r="C56" s="14" t="s">
        <v>1214</v>
      </c>
      <c r="D56" s="8" t="str">
        <f>IFERROR(_xlfn.XLOOKUP(C56,index.html!C:C,index.html!D:D)," ")</f>
        <v xml:space="preserve"> </v>
      </c>
      <c r="E56" s="14" t="s">
        <v>1215</v>
      </c>
      <c r="F56" s="10"/>
    </row>
    <row r="57" spans="1:6" ht="16.5">
      <c r="A57" s="11">
        <v>49</v>
      </c>
      <c r="B57" s="11" t="s">
        <v>1206</v>
      </c>
      <c r="C57" s="13" t="s">
        <v>1216</v>
      </c>
      <c r="D57" s="8" t="str">
        <f>IFERROR(_xlfn.XLOOKUP(C57,index.html!C:C,index.html!D:D)," ")</f>
        <v xml:space="preserve"> </v>
      </c>
      <c r="E57" s="13" t="s">
        <v>1217</v>
      </c>
      <c r="F57" s="11"/>
    </row>
    <row r="58" spans="1:6" ht="16.5">
      <c r="A58" s="10">
        <v>50</v>
      </c>
      <c r="B58" s="10" t="s">
        <v>1206</v>
      </c>
      <c r="C58" s="14" t="s">
        <v>1201</v>
      </c>
      <c r="D58" s="8" t="str">
        <f>IFERROR(_xlfn.XLOOKUP(C58,index.html!C:C,index.html!D:D)," ")</f>
        <v xml:space="preserve"> </v>
      </c>
      <c r="E58" s="14" t="s">
        <v>1201</v>
      </c>
      <c r="F58" s="10"/>
    </row>
    <row r="59" spans="1:6" ht="16.5">
      <c r="A59" s="11">
        <v>51</v>
      </c>
      <c r="B59" s="11" t="s">
        <v>1206</v>
      </c>
      <c r="C59" s="13" t="s">
        <v>1218</v>
      </c>
      <c r="D59" s="8" t="str">
        <f>IFERROR(_xlfn.XLOOKUP(C59,index.html!C:C,index.html!D:D)," ")</f>
        <v xml:space="preserve"> </v>
      </c>
      <c r="E59" s="13" t="s">
        <v>1218</v>
      </c>
      <c r="F59" s="11"/>
    </row>
    <row r="60" spans="1:6" ht="16.5">
      <c r="A60" s="10">
        <v>52</v>
      </c>
      <c r="B60" s="10" t="s">
        <v>1206</v>
      </c>
      <c r="C60" s="14" t="s">
        <v>1219</v>
      </c>
      <c r="D60" s="8" t="str">
        <f>IFERROR(_xlfn.XLOOKUP(C60,index.html!C:C,index.html!D:D)," ")</f>
        <v xml:space="preserve"> </v>
      </c>
      <c r="E60" s="14" t="s">
        <v>1219</v>
      </c>
      <c r="F60" s="10"/>
    </row>
    <row r="61" spans="1:6" ht="16.5">
      <c r="A61" s="11">
        <v>53</v>
      </c>
      <c r="B61" s="11" t="s">
        <v>1206</v>
      </c>
      <c r="C61" s="13" t="s">
        <v>1220</v>
      </c>
      <c r="D61" s="8" t="str">
        <f>IFERROR(_xlfn.XLOOKUP(C61,index.html!C:C,index.html!D:D)," ")</f>
        <v xml:space="preserve"> </v>
      </c>
      <c r="E61" s="13" t="s">
        <v>1220</v>
      </c>
      <c r="F61" s="11"/>
    </row>
    <row r="62" spans="1:6" ht="16.5">
      <c r="A62" s="10">
        <v>54</v>
      </c>
      <c r="B62" s="10" t="s">
        <v>1206</v>
      </c>
      <c r="C62" s="14" t="s">
        <v>1221</v>
      </c>
      <c r="D62" s="8" t="str">
        <f>IFERROR(_xlfn.XLOOKUP(C62,index.html!C:C,index.html!D:D)," ")</f>
        <v xml:space="preserve"> </v>
      </c>
      <c r="E62" s="14" t="s">
        <v>1221</v>
      </c>
      <c r="F62" s="10"/>
    </row>
    <row r="63" spans="1:6" ht="16.5">
      <c r="A63" s="11">
        <v>55</v>
      </c>
      <c r="B63" s="11" t="s">
        <v>1206</v>
      </c>
      <c r="C63" s="13" t="s">
        <v>976</v>
      </c>
      <c r="D63" s="46" t="s">
        <v>1187</v>
      </c>
      <c r="E63" s="13" t="s">
        <v>976</v>
      </c>
      <c r="F63" s="46" t="s">
        <v>1187</v>
      </c>
    </row>
    <row r="64" spans="1:6" ht="16.5">
      <c r="A64" s="10">
        <v>56</v>
      </c>
      <c r="B64" s="10" t="s">
        <v>1206</v>
      </c>
      <c r="C64" s="14" t="s">
        <v>1188</v>
      </c>
      <c r="D64" s="8" t="str">
        <f>IFERROR(_xlfn.XLOOKUP(C64,index.html!C:C,index.html!D:D)," ")</f>
        <v xml:space="preserve"> </v>
      </c>
      <c r="E64" s="14" t="s">
        <v>1188</v>
      </c>
      <c r="F64" s="10"/>
    </row>
    <row r="65" spans="1:6" ht="16.5">
      <c r="A65" s="11">
        <v>57</v>
      </c>
      <c r="B65" s="11" t="s">
        <v>1206</v>
      </c>
      <c r="C65" s="13" t="s">
        <v>80</v>
      </c>
      <c r="D65" s="8" t="str">
        <f>IFERROR(_xlfn.XLOOKUP(C65,index.html!C:C,index.html!D:D)," ")</f>
        <v xml:space="preserve"> </v>
      </c>
      <c r="E65" s="13" t="s">
        <v>80</v>
      </c>
      <c r="F65" s="11"/>
    </row>
    <row r="66" spans="1:6" ht="16.5">
      <c r="A66" s="10">
        <v>58</v>
      </c>
      <c r="B66" s="10" t="s">
        <v>1026</v>
      </c>
      <c r="C66" s="14" t="s">
        <v>1222</v>
      </c>
      <c r="D66" s="8" t="str">
        <f>IFERROR(_xlfn.XLOOKUP(C66,index.html!C:C,index.html!D:D)," ")</f>
        <v xml:space="preserve"> </v>
      </c>
      <c r="E66" s="14" t="s">
        <v>1222</v>
      </c>
      <c r="F66" s="10"/>
    </row>
    <row r="67" spans="1:6" ht="33">
      <c r="A67" s="11">
        <v>59</v>
      </c>
      <c r="B67" s="11" t="s">
        <v>1026</v>
      </c>
      <c r="C67" s="13" t="s">
        <v>1223</v>
      </c>
      <c r="D67" s="8" t="s">
        <v>1224</v>
      </c>
      <c r="E67" s="13" t="s">
        <v>1223</v>
      </c>
      <c r="F67" s="8" t="s">
        <v>1224</v>
      </c>
    </row>
    <row r="68" spans="1:6" ht="15.75">
      <c r="A68" s="10">
        <v>60</v>
      </c>
      <c r="B68" s="10" t="s">
        <v>1026</v>
      </c>
      <c r="C68" s="14" t="s">
        <v>1225</v>
      </c>
      <c r="D68" s="8" t="str">
        <f>IFERROR(_xlfn.XLOOKUP(C68,index.html!C:C,index.html!D:D)," ")</f>
        <v xml:space="preserve"> </v>
      </c>
      <c r="E68" s="14" t="s">
        <v>1225</v>
      </c>
      <c r="F68" s="10"/>
    </row>
    <row r="69" spans="1:6" ht="16.5">
      <c r="A69" s="11">
        <v>61</v>
      </c>
      <c r="B69" s="11" t="s">
        <v>352</v>
      </c>
      <c r="C69" s="13" t="s">
        <v>80</v>
      </c>
      <c r="D69" s="8" t="str">
        <f>IFERROR(_xlfn.XLOOKUP(C69,index.html!C:C,index.html!D:D)," ")</f>
        <v xml:space="preserve"> </v>
      </c>
      <c r="E69" s="13" t="s">
        <v>80</v>
      </c>
      <c r="F69" s="11"/>
    </row>
    <row r="70" spans="1:6" ht="16.5">
      <c r="A70" s="10">
        <v>62</v>
      </c>
      <c r="B70" s="10" t="s">
        <v>352</v>
      </c>
      <c r="C70" s="14" t="s">
        <v>976</v>
      </c>
      <c r="D70" s="46" t="s">
        <v>1187</v>
      </c>
      <c r="E70" s="14" t="s">
        <v>976</v>
      </c>
      <c r="F70" s="46" t="s">
        <v>1187</v>
      </c>
    </row>
  </sheetData>
  <hyperlinks>
    <hyperlink ref="B4" r:id="rId1" xr:uid="{34BCD94F-A541-4C0D-9B2F-E8E3E14A400D}"/>
  </hyperlinks>
  <pageMargins left="0.75" right="0.75" top="1" bottom="1" header="0.5" footer="0.5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</sheetPr>
  <dimension ref="A1:F76"/>
  <sheetViews>
    <sheetView topLeftCell="B12" workbookViewId="0">
      <selection activeCell="D19" sqref="D19"/>
    </sheetView>
  </sheetViews>
  <sheetFormatPr defaultRowHeight="15"/>
  <cols>
    <col min="1" max="1" width="12.5703125" bestFit="1" customWidth="1"/>
    <col min="2" max="2" width="52.140625" bestFit="1" customWidth="1"/>
    <col min="3" max="3" width="45" customWidth="1"/>
    <col min="4" max="4" width="20" customWidth="1"/>
    <col min="5" max="5" width="45" customWidth="1"/>
    <col min="6" max="6" width="20" customWidth="1"/>
  </cols>
  <sheetData>
    <row r="1" spans="1:6">
      <c r="A1" s="12" t="s">
        <v>10</v>
      </c>
      <c r="B1" t="s">
        <v>11</v>
      </c>
    </row>
    <row r="2" spans="1:6">
      <c r="A2" s="12" t="s">
        <v>966</v>
      </c>
      <c r="B2" t="s">
        <v>32</v>
      </c>
    </row>
    <row r="3" spans="1:6">
      <c r="A3" s="12" t="s">
        <v>967</v>
      </c>
      <c r="B3" t="s">
        <v>955</v>
      </c>
    </row>
    <row r="4" spans="1:6">
      <c r="A4" s="12" t="s">
        <v>968</v>
      </c>
      <c r="B4" s="33" t="s">
        <v>33</v>
      </c>
    </row>
    <row r="5" spans="1:6">
      <c r="A5" s="12" t="s">
        <v>969</v>
      </c>
      <c r="B5">
        <v>68</v>
      </c>
    </row>
    <row r="6" spans="1:6">
      <c r="A6" s="12" t="s">
        <v>970</v>
      </c>
      <c r="B6" t="s">
        <v>14</v>
      </c>
    </row>
    <row r="7" spans="1:6">
      <c r="A7" s="12" t="s">
        <v>971</v>
      </c>
      <c r="B7" t="s">
        <v>50</v>
      </c>
    </row>
    <row r="8" spans="1:6">
      <c r="A8" s="35" t="s">
        <v>972</v>
      </c>
      <c r="B8" s="35" t="s">
        <v>59</v>
      </c>
      <c r="C8" s="34" t="s">
        <v>60</v>
      </c>
      <c r="D8" s="34" t="s">
        <v>61</v>
      </c>
      <c r="E8" s="34" t="s">
        <v>62</v>
      </c>
      <c r="F8" s="34" t="s">
        <v>63</v>
      </c>
    </row>
    <row r="9" spans="1:6" ht="16.5">
      <c r="A9" s="11">
        <v>1</v>
      </c>
      <c r="B9" s="11" t="s">
        <v>64</v>
      </c>
      <c r="C9" s="13" t="s">
        <v>65</v>
      </c>
      <c r="D9" s="8">
        <f>IFERROR(_xlfn.XLOOKUP(C9,index.html!C:C,index.html!D:D)," ")</f>
        <v>0</v>
      </c>
      <c r="E9" s="13" t="s">
        <v>65</v>
      </c>
      <c r="F9" s="11"/>
    </row>
    <row r="10" spans="1:6" ht="16.5">
      <c r="A10" s="10">
        <v>2</v>
      </c>
      <c r="B10" s="10" t="s">
        <v>64</v>
      </c>
      <c r="C10" s="14" t="s">
        <v>66</v>
      </c>
      <c r="D10" s="8">
        <f>IFERROR(_xlfn.XLOOKUP(C10,index.html!C:C,index.html!D:D)," ")</f>
        <v>0</v>
      </c>
      <c r="E10" s="14" t="s">
        <v>66</v>
      </c>
      <c r="F10" s="10"/>
    </row>
    <row r="11" spans="1:6" ht="16.5">
      <c r="A11" s="11">
        <v>3</v>
      </c>
      <c r="B11" s="11" t="s">
        <v>973</v>
      </c>
      <c r="C11" s="13" t="s">
        <v>443</v>
      </c>
      <c r="D11" s="8" t="str">
        <f>IFERROR(_xlfn.XLOOKUP(C11,index.html!C:C,index.html!D:D)," ")</f>
        <v xml:space="preserve"> </v>
      </c>
      <c r="E11" s="13" t="s">
        <v>444</v>
      </c>
      <c r="F11" s="11"/>
    </row>
    <row r="12" spans="1:6" ht="16.5">
      <c r="A12" s="10">
        <v>4</v>
      </c>
      <c r="B12" s="10" t="s">
        <v>973</v>
      </c>
      <c r="C12" s="14" t="s">
        <v>436</v>
      </c>
      <c r="D12" s="14" t="s">
        <v>437</v>
      </c>
      <c r="E12" s="14" t="s">
        <v>437</v>
      </c>
      <c r="F12" s="10"/>
    </row>
    <row r="13" spans="1:6" ht="16.5">
      <c r="A13" s="11">
        <v>5</v>
      </c>
      <c r="B13" s="11" t="s">
        <v>973</v>
      </c>
      <c r="C13" s="13" t="s">
        <v>354</v>
      </c>
      <c r="D13" s="13" t="s">
        <v>438</v>
      </c>
      <c r="E13" s="13" t="s">
        <v>438</v>
      </c>
      <c r="F13" s="11"/>
    </row>
    <row r="14" spans="1:6" ht="16.5">
      <c r="A14" s="10">
        <v>6</v>
      </c>
      <c r="B14" s="10" t="s">
        <v>973</v>
      </c>
      <c r="C14" s="14" t="s">
        <v>344</v>
      </c>
      <c r="D14" s="14" t="s">
        <v>693</v>
      </c>
      <c r="E14" s="14" t="s">
        <v>72</v>
      </c>
      <c r="F14" s="10"/>
    </row>
    <row r="15" spans="1:6" ht="16.5">
      <c r="A15" s="11">
        <v>7</v>
      </c>
      <c r="B15" s="11" t="s">
        <v>973</v>
      </c>
      <c r="C15" s="13" t="s">
        <v>439</v>
      </c>
      <c r="D15" s="13" t="s">
        <v>161</v>
      </c>
      <c r="E15" s="13" t="s">
        <v>161</v>
      </c>
      <c r="F15" s="11"/>
    </row>
    <row r="16" spans="1:6" ht="16.5">
      <c r="A16" s="10">
        <v>8</v>
      </c>
      <c r="B16" s="10" t="s">
        <v>973</v>
      </c>
      <c r="C16" s="14" t="s">
        <v>440</v>
      </c>
      <c r="D16" s="8" t="s">
        <v>694</v>
      </c>
      <c r="E16" s="14" t="s">
        <v>441</v>
      </c>
      <c r="F16" s="10"/>
    </row>
    <row r="17" spans="1:6" ht="16.5">
      <c r="A17" s="11">
        <v>9</v>
      </c>
      <c r="B17" s="11" t="s">
        <v>973</v>
      </c>
      <c r="C17" s="13" t="s">
        <v>79</v>
      </c>
      <c r="D17" s="8" t="str">
        <f>IFERROR(_xlfn.XLOOKUP(C17,index.html!C:C,index.html!D:D)," ")</f>
        <v>立即申请</v>
      </c>
      <c r="E17" s="13" t="s">
        <v>80</v>
      </c>
      <c r="F17" s="11"/>
    </row>
    <row r="18" spans="1:6" ht="33">
      <c r="A18" s="10">
        <v>10</v>
      </c>
      <c r="B18" s="10" t="s">
        <v>360</v>
      </c>
      <c r="C18" s="14" t="s">
        <v>1226</v>
      </c>
      <c r="D18" s="8" t="s">
        <v>1227</v>
      </c>
      <c r="E18" s="14" t="s">
        <v>1228</v>
      </c>
      <c r="F18" s="10"/>
    </row>
    <row r="19" spans="1:6" ht="84">
      <c r="A19" s="11">
        <v>11</v>
      </c>
      <c r="B19" s="11" t="s">
        <v>360</v>
      </c>
      <c r="C19" s="13" t="s">
        <v>1229</v>
      </c>
      <c r="D19" s="8" t="str">
        <f>IFERROR(_xlfn.XLOOKUP(C19,index.html!C:C,index.html!D:D)," ")</f>
        <v xml:space="preserve"> </v>
      </c>
      <c r="E19" s="13" t="s">
        <v>1230</v>
      </c>
      <c r="F19" s="11"/>
    </row>
    <row r="20" spans="1:6" ht="16.5">
      <c r="A20" s="10">
        <v>12</v>
      </c>
      <c r="B20" s="10" t="s">
        <v>93</v>
      </c>
      <c r="C20" s="14" t="s">
        <v>701</v>
      </c>
      <c r="D20" s="8" t="str">
        <f>IFERROR(_xlfn.XLOOKUP(C20,index.html!C:C,index.html!D:D)," ")</f>
        <v xml:space="preserve"> </v>
      </c>
      <c r="E20" s="14" t="s">
        <v>96</v>
      </c>
      <c r="F20" s="10"/>
    </row>
    <row r="21" spans="1:6" ht="16.5">
      <c r="A21" s="11">
        <v>13</v>
      </c>
      <c r="B21" s="11" t="s">
        <v>93</v>
      </c>
      <c r="C21" s="13" t="s">
        <v>606</v>
      </c>
      <c r="D21" s="8" t="str">
        <f>IFERROR(_xlfn.XLOOKUP(C21,index.html!C:C,index.html!D:D)," ")</f>
        <v xml:space="preserve"> </v>
      </c>
      <c r="E21" s="13" t="s">
        <v>607</v>
      </c>
      <c r="F21" s="11" t="s">
        <v>1231</v>
      </c>
    </row>
    <row r="22" spans="1:6" ht="16.5">
      <c r="A22" s="10">
        <v>14</v>
      </c>
      <c r="B22" s="10" t="s">
        <v>93</v>
      </c>
      <c r="C22" s="14" t="s">
        <v>344</v>
      </c>
      <c r="D22" s="8" t="s">
        <v>1232</v>
      </c>
      <c r="E22" s="14" t="s">
        <v>72</v>
      </c>
      <c r="F22" s="10"/>
    </row>
    <row r="23" spans="1:6" ht="16.5">
      <c r="A23" s="11">
        <v>15</v>
      </c>
      <c r="B23" s="11" t="s">
        <v>1233</v>
      </c>
      <c r="C23" s="13" t="s">
        <v>1234</v>
      </c>
      <c r="D23" s="8" t="str">
        <f>IFERROR(_xlfn.XLOOKUP(C23,index.html!C:C,index.html!D:D)," ")</f>
        <v xml:space="preserve"> </v>
      </c>
      <c r="E23" s="13" t="s">
        <v>1235</v>
      </c>
      <c r="F23" s="11"/>
    </row>
    <row r="24" spans="1:6" ht="32.25">
      <c r="A24" s="10">
        <v>16</v>
      </c>
      <c r="B24" s="10" t="s">
        <v>147</v>
      </c>
      <c r="C24" s="14" t="s">
        <v>1236</v>
      </c>
      <c r="D24" s="14" t="s">
        <v>1237</v>
      </c>
      <c r="E24" s="14" t="s">
        <v>1238</v>
      </c>
      <c r="F24" s="10"/>
    </row>
    <row r="25" spans="1:6" ht="51">
      <c r="A25" s="11">
        <v>17</v>
      </c>
      <c r="B25" s="11" t="s">
        <v>147</v>
      </c>
      <c r="C25" s="13" t="s">
        <v>1239</v>
      </c>
      <c r="D25" s="8" t="str">
        <f>IFERROR(_xlfn.XLOOKUP(C25,index.html!C:C,index.html!D:D)," ")</f>
        <v xml:space="preserve"> </v>
      </c>
      <c r="E25" s="13" t="s">
        <v>1240</v>
      </c>
      <c r="F25" s="11" t="s">
        <v>1241</v>
      </c>
    </row>
    <row r="26" spans="1:6" ht="16.5">
      <c r="A26" s="10">
        <v>18</v>
      </c>
      <c r="B26" s="10" t="s">
        <v>147</v>
      </c>
      <c r="C26" s="14" t="s">
        <v>1242</v>
      </c>
      <c r="D26" s="8" t="s">
        <v>1243</v>
      </c>
      <c r="E26" s="14" t="s">
        <v>1244</v>
      </c>
      <c r="F26" s="8" t="s">
        <v>1243</v>
      </c>
    </row>
    <row r="27" spans="1:6" ht="66.75">
      <c r="A27" s="11">
        <v>19</v>
      </c>
      <c r="B27" s="11" t="s">
        <v>147</v>
      </c>
      <c r="C27" s="13" t="s">
        <v>1245</v>
      </c>
      <c r="D27" s="13" t="s">
        <v>1246</v>
      </c>
      <c r="E27" s="13" t="s">
        <v>1247</v>
      </c>
      <c r="F27" s="13" t="s">
        <v>1248</v>
      </c>
    </row>
    <row r="28" spans="1:6" ht="16.5">
      <c r="A28" s="10">
        <v>20</v>
      </c>
      <c r="B28" s="10" t="s">
        <v>147</v>
      </c>
      <c r="C28" s="14" t="s">
        <v>1249</v>
      </c>
      <c r="D28" s="8" t="str">
        <f>IFERROR(_xlfn.XLOOKUP(C28,index.html!C:C,index.html!D:D)," ")</f>
        <v xml:space="preserve"> </v>
      </c>
      <c r="E28" s="14" t="s">
        <v>1250</v>
      </c>
      <c r="F28" s="10"/>
    </row>
    <row r="29" spans="1:6" ht="50.25">
      <c r="A29" s="11">
        <v>21</v>
      </c>
      <c r="B29" s="11" t="s">
        <v>147</v>
      </c>
      <c r="C29" s="13" t="s">
        <v>1251</v>
      </c>
      <c r="D29" s="11" t="s">
        <v>1252</v>
      </c>
      <c r="E29" s="13" t="s">
        <v>1253</v>
      </c>
      <c r="F29" s="11" t="s">
        <v>1252</v>
      </c>
    </row>
    <row r="30" spans="1:6" ht="16.5">
      <c r="A30" s="10">
        <v>22</v>
      </c>
      <c r="B30" s="10" t="s">
        <v>347</v>
      </c>
      <c r="C30" s="14" t="s">
        <v>1254</v>
      </c>
      <c r="D30" s="8" t="s">
        <v>1255</v>
      </c>
      <c r="E30" s="14" t="s">
        <v>1255</v>
      </c>
      <c r="F30" s="10"/>
    </row>
    <row r="31" spans="1:6" ht="33">
      <c r="A31" s="11">
        <v>23</v>
      </c>
      <c r="B31" s="11" t="s">
        <v>347</v>
      </c>
      <c r="C31" s="13" t="s">
        <v>1256</v>
      </c>
      <c r="D31" s="8" t="s">
        <v>1257</v>
      </c>
      <c r="E31" s="13" t="s">
        <v>1257</v>
      </c>
      <c r="F31" s="11"/>
    </row>
    <row r="32" spans="1:6" ht="16.5">
      <c r="A32" s="10">
        <v>24</v>
      </c>
      <c r="B32" s="10" t="s">
        <v>501</v>
      </c>
      <c r="C32" s="14" t="s">
        <v>1258</v>
      </c>
      <c r="D32" s="8" t="str">
        <f>IFERROR(_xlfn.XLOOKUP(C32,index.html!C:C,index.html!D:D)," ")</f>
        <v xml:space="preserve"> </v>
      </c>
      <c r="E32" s="14" t="s">
        <v>1259</v>
      </c>
      <c r="F32" s="10"/>
    </row>
    <row r="33" spans="1:6" ht="16.5">
      <c r="A33" s="11">
        <v>25</v>
      </c>
      <c r="B33" s="11" t="s">
        <v>501</v>
      </c>
      <c r="C33" s="13" t="s">
        <v>1260</v>
      </c>
      <c r="D33" s="8" t="s">
        <v>1261</v>
      </c>
      <c r="E33" s="13" t="s">
        <v>1262</v>
      </c>
      <c r="F33" s="11" t="s">
        <v>1263</v>
      </c>
    </row>
    <row r="34" spans="1:6" ht="16.5">
      <c r="A34" s="10">
        <v>26</v>
      </c>
      <c r="B34" s="10" t="s">
        <v>501</v>
      </c>
      <c r="C34" s="14" t="s">
        <v>1264</v>
      </c>
      <c r="D34" s="8" t="s">
        <v>1265</v>
      </c>
      <c r="E34" s="14" t="s">
        <v>1266</v>
      </c>
      <c r="F34" s="10"/>
    </row>
    <row r="35" spans="1:6" ht="16.5">
      <c r="A35" s="11">
        <v>27</v>
      </c>
      <c r="B35" s="11" t="s">
        <v>501</v>
      </c>
      <c r="C35" s="13" t="s">
        <v>1267</v>
      </c>
      <c r="D35" s="13" t="s">
        <v>1268</v>
      </c>
      <c r="E35" s="13" t="s">
        <v>1268</v>
      </c>
      <c r="F35" s="11"/>
    </row>
    <row r="36" spans="1:6" ht="16.5">
      <c r="A36" s="10">
        <v>28</v>
      </c>
      <c r="B36" s="10" t="s">
        <v>501</v>
      </c>
      <c r="C36" s="14" t="s">
        <v>1269</v>
      </c>
      <c r="D36" s="14" t="s">
        <v>1270</v>
      </c>
      <c r="E36" s="14" t="s">
        <v>1270</v>
      </c>
      <c r="F36" s="10"/>
    </row>
    <row r="37" spans="1:6" ht="16.5">
      <c r="A37" s="11">
        <v>29</v>
      </c>
      <c r="B37" s="11" t="s">
        <v>501</v>
      </c>
      <c r="C37" s="13" t="s">
        <v>1271</v>
      </c>
      <c r="D37" s="13" t="s">
        <v>1272</v>
      </c>
      <c r="E37" s="13" t="s">
        <v>1273</v>
      </c>
      <c r="F37" s="13" t="s">
        <v>1272</v>
      </c>
    </row>
    <row r="38" spans="1:6" ht="16.5">
      <c r="A38" s="10">
        <v>30</v>
      </c>
      <c r="B38" s="10" t="s">
        <v>501</v>
      </c>
      <c r="C38" s="14" t="s">
        <v>1274</v>
      </c>
      <c r="D38" s="14" t="s">
        <v>1275</v>
      </c>
      <c r="E38" s="14" t="s">
        <v>1275</v>
      </c>
      <c r="F38" s="10"/>
    </row>
    <row r="39" spans="1:6" ht="33">
      <c r="A39" s="11">
        <v>31</v>
      </c>
      <c r="B39" s="11" t="s">
        <v>501</v>
      </c>
      <c r="C39" s="13" t="s">
        <v>1276</v>
      </c>
      <c r="D39" s="13" t="s">
        <v>1277</v>
      </c>
      <c r="E39" s="13" t="s">
        <v>1277</v>
      </c>
      <c r="F39" s="11"/>
    </row>
    <row r="40" spans="1:6" ht="16.5">
      <c r="A40" s="10">
        <v>32</v>
      </c>
      <c r="B40" s="10" t="s">
        <v>501</v>
      </c>
      <c r="C40" s="14" t="s">
        <v>1278</v>
      </c>
      <c r="D40" s="14" t="s">
        <v>1279</v>
      </c>
      <c r="E40" s="14" t="s">
        <v>1280</v>
      </c>
      <c r="F40" s="14" t="s">
        <v>1279</v>
      </c>
    </row>
    <row r="41" spans="1:6" ht="16.5">
      <c r="A41" s="11">
        <v>33</v>
      </c>
      <c r="B41" s="11" t="s">
        <v>501</v>
      </c>
      <c r="C41" s="13" t="s">
        <v>1281</v>
      </c>
      <c r="D41" s="13" t="s">
        <v>1282</v>
      </c>
      <c r="E41" s="13" t="s">
        <v>1282</v>
      </c>
      <c r="F41" s="11"/>
    </row>
    <row r="42" spans="1:6" ht="16.5">
      <c r="A42" s="10">
        <v>34</v>
      </c>
      <c r="B42" s="10" t="s">
        <v>501</v>
      </c>
      <c r="C42" s="14" t="s">
        <v>1283</v>
      </c>
      <c r="D42" s="8" t="str">
        <f>IFERROR(_xlfn.XLOOKUP(C42,index.html!C:C,index.html!D:D)," ")</f>
        <v xml:space="preserve"> </v>
      </c>
      <c r="E42" s="14" t="s">
        <v>1284</v>
      </c>
      <c r="F42" s="10"/>
    </row>
    <row r="43" spans="1:6" ht="16.5">
      <c r="A43" s="11">
        <v>35</v>
      </c>
      <c r="B43" s="11" t="s">
        <v>501</v>
      </c>
      <c r="C43" s="13" t="s">
        <v>1285</v>
      </c>
      <c r="D43" s="13" t="s">
        <v>1286</v>
      </c>
      <c r="E43" s="13" t="s">
        <v>1287</v>
      </c>
      <c r="F43" s="13" t="s">
        <v>1286</v>
      </c>
    </row>
    <row r="44" spans="1:6" ht="33">
      <c r="A44" s="10">
        <v>36</v>
      </c>
      <c r="B44" s="10" t="s">
        <v>1288</v>
      </c>
      <c r="C44" s="14" t="s">
        <v>1289</v>
      </c>
      <c r="D44" s="14" t="s">
        <v>1290</v>
      </c>
      <c r="E44" s="14" t="s">
        <v>1290</v>
      </c>
      <c r="F44" s="14"/>
    </row>
    <row r="45" spans="1:6" ht="16.5">
      <c r="A45" s="11">
        <v>37</v>
      </c>
      <c r="B45" s="11" t="s">
        <v>1009</v>
      </c>
      <c r="C45" s="13" t="s">
        <v>1291</v>
      </c>
      <c r="D45" s="8" t="str">
        <f>IFERROR(_xlfn.XLOOKUP(C45,index.html!C:C,index.html!D:D)," ")</f>
        <v xml:space="preserve"> </v>
      </c>
      <c r="E45" s="13" t="s">
        <v>1292</v>
      </c>
      <c r="F45" s="11"/>
    </row>
    <row r="46" spans="1:6" ht="32.25">
      <c r="A46" s="10">
        <v>38</v>
      </c>
      <c r="B46" s="10" t="s">
        <v>1009</v>
      </c>
      <c r="C46" s="14" t="s">
        <v>1293</v>
      </c>
      <c r="D46" s="8" t="s">
        <v>1294</v>
      </c>
      <c r="E46" s="14" t="s">
        <v>1295</v>
      </c>
      <c r="F46" s="10"/>
    </row>
    <row r="47" spans="1:6" ht="50.25">
      <c r="A47" s="11">
        <v>39</v>
      </c>
      <c r="B47" s="11" t="s">
        <v>1009</v>
      </c>
      <c r="C47" s="13" t="s">
        <v>1296</v>
      </c>
      <c r="D47" s="8" t="s">
        <v>1297</v>
      </c>
      <c r="E47" s="13" t="s">
        <v>1298</v>
      </c>
      <c r="F47" s="11" t="s">
        <v>1299</v>
      </c>
    </row>
    <row r="48" spans="1:6" ht="50.25">
      <c r="A48" s="10">
        <v>40</v>
      </c>
      <c r="B48" s="10" t="s">
        <v>1009</v>
      </c>
      <c r="C48" s="14" t="s">
        <v>1300</v>
      </c>
      <c r="D48" s="14" t="s">
        <v>1301</v>
      </c>
      <c r="E48" s="14" t="s">
        <v>1302</v>
      </c>
      <c r="F48" s="14" t="s">
        <v>1303</v>
      </c>
    </row>
    <row r="49" spans="1:6" ht="50.25">
      <c r="A49" s="11">
        <v>41</v>
      </c>
      <c r="B49" s="11" t="s">
        <v>1009</v>
      </c>
      <c r="C49" s="13" t="s">
        <v>1304</v>
      </c>
      <c r="D49" s="13" t="s">
        <v>1305</v>
      </c>
      <c r="E49" s="13" t="s">
        <v>1305</v>
      </c>
      <c r="F49" s="11"/>
    </row>
    <row r="50" spans="1:6" ht="33">
      <c r="A50" s="10">
        <v>42</v>
      </c>
      <c r="B50" s="10" t="s">
        <v>1009</v>
      </c>
      <c r="C50" s="14" t="s">
        <v>1306</v>
      </c>
      <c r="D50" s="14" t="s">
        <v>1307</v>
      </c>
      <c r="E50" s="14" t="s">
        <v>1308</v>
      </c>
      <c r="F50" s="14" t="s">
        <v>1307</v>
      </c>
    </row>
    <row r="51" spans="1:6" ht="117">
      <c r="A51" s="11">
        <v>43</v>
      </c>
      <c r="B51" s="11" t="s">
        <v>1009</v>
      </c>
      <c r="C51" s="13" t="s">
        <v>1309</v>
      </c>
      <c r="D51" s="13" t="s">
        <v>1310</v>
      </c>
      <c r="E51" s="13" t="s">
        <v>1310</v>
      </c>
      <c r="F51" s="11"/>
    </row>
    <row r="52" spans="1:6" ht="33">
      <c r="A52" s="10">
        <v>44</v>
      </c>
      <c r="B52" s="10" t="s">
        <v>1009</v>
      </c>
      <c r="C52" s="14" t="s">
        <v>1311</v>
      </c>
      <c r="D52" s="14" t="s">
        <v>1312</v>
      </c>
      <c r="E52" s="14" t="s">
        <v>1313</v>
      </c>
      <c r="F52" s="14" t="s">
        <v>1314</v>
      </c>
    </row>
    <row r="53" spans="1:6" ht="33">
      <c r="A53" s="11">
        <v>45</v>
      </c>
      <c r="B53" s="11" t="s">
        <v>1009</v>
      </c>
      <c r="C53" s="13" t="s">
        <v>1315</v>
      </c>
      <c r="D53" s="13" t="s">
        <v>1316</v>
      </c>
      <c r="E53" s="13" t="s">
        <v>1317</v>
      </c>
      <c r="F53" s="13" t="s">
        <v>1316</v>
      </c>
    </row>
    <row r="54" spans="1:6" ht="33">
      <c r="A54" s="10">
        <v>46</v>
      </c>
      <c r="B54" s="10" t="s">
        <v>1009</v>
      </c>
      <c r="C54" s="14" t="s">
        <v>1318</v>
      </c>
      <c r="D54" s="14" t="s">
        <v>1319</v>
      </c>
      <c r="E54" s="14" t="s">
        <v>1319</v>
      </c>
      <c r="F54" s="10"/>
    </row>
    <row r="55" spans="1:6" ht="33">
      <c r="A55" s="11">
        <v>47</v>
      </c>
      <c r="B55" s="11" t="s">
        <v>1009</v>
      </c>
      <c r="C55" s="13" t="s">
        <v>1320</v>
      </c>
      <c r="D55" s="13" t="s">
        <v>1321</v>
      </c>
      <c r="E55" s="13" t="s">
        <v>1321</v>
      </c>
      <c r="F55" s="11"/>
    </row>
    <row r="56" spans="1:6" ht="16.5">
      <c r="A56" s="10">
        <v>48</v>
      </c>
      <c r="B56" s="10" t="s">
        <v>1009</v>
      </c>
      <c r="C56" s="14" t="s">
        <v>1322</v>
      </c>
      <c r="D56" s="8" t="s">
        <v>1323</v>
      </c>
      <c r="E56" s="14" t="s">
        <v>1324</v>
      </c>
      <c r="F56" s="10" t="s">
        <v>1325</v>
      </c>
    </row>
    <row r="57" spans="1:6" ht="16.5">
      <c r="A57" s="11">
        <v>49</v>
      </c>
      <c r="B57" s="11" t="s">
        <v>1326</v>
      </c>
      <c r="C57" s="13" t="s">
        <v>1327</v>
      </c>
      <c r="D57" s="11" t="s">
        <v>1328</v>
      </c>
      <c r="E57" s="13" t="s">
        <v>1328</v>
      </c>
      <c r="F57" s="11" t="s">
        <v>1328</v>
      </c>
    </row>
    <row r="58" spans="1:6" ht="33">
      <c r="A58" s="10">
        <v>50</v>
      </c>
      <c r="B58" s="10" t="s">
        <v>1326</v>
      </c>
      <c r="C58" s="14" t="s">
        <v>1329</v>
      </c>
      <c r="D58" s="8" t="s">
        <v>1330</v>
      </c>
      <c r="E58" s="14" t="s">
        <v>1331</v>
      </c>
      <c r="F58" s="10" t="s">
        <v>1330</v>
      </c>
    </row>
    <row r="59" spans="1:6" ht="33">
      <c r="A59" s="11">
        <v>51</v>
      </c>
      <c r="B59" s="11" t="s">
        <v>147</v>
      </c>
      <c r="C59" s="13" t="s">
        <v>1332</v>
      </c>
      <c r="D59" s="13" t="s">
        <v>1333</v>
      </c>
      <c r="E59" s="13" t="s">
        <v>1334</v>
      </c>
      <c r="F59" s="13" t="s">
        <v>1333</v>
      </c>
    </row>
    <row r="60" spans="1:6" ht="83.25">
      <c r="A60" s="10">
        <v>52</v>
      </c>
      <c r="B60" s="10" t="s">
        <v>147</v>
      </c>
      <c r="C60" s="14" t="s">
        <v>1335</v>
      </c>
      <c r="D60" s="8" t="s">
        <v>1336</v>
      </c>
      <c r="E60" s="14" t="s">
        <v>1337</v>
      </c>
      <c r="F60" s="14" t="s">
        <v>1338</v>
      </c>
    </row>
    <row r="61" spans="1:6" ht="16.5">
      <c r="A61" s="11">
        <v>53</v>
      </c>
      <c r="B61" s="11" t="s">
        <v>1339</v>
      </c>
      <c r="C61" s="13" t="s">
        <v>1340</v>
      </c>
      <c r="D61" s="8" t="s">
        <v>1341</v>
      </c>
      <c r="E61" s="13" t="s">
        <v>1342</v>
      </c>
      <c r="F61" s="8" t="s">
        <v>1341</v>
      </c>
    </row>
    <row r="62" spans="1:6" ht="16.5">
      <c r="A62" s="10">
        <v>54</v>
      </c>
      <c r="B62" s="10" t="s">
        <v>1339</v>
      </c>
      <c r="C62" s="14" t="s">
        <v>1343</v>
      </c>
      <c r="D62" s="14" t="s">
        <v>1344</v>
      </c>
      <c r="E62" s="14" t="s">
        <v>1345</v>
      </c>
      <c r="F62" s="10"/>
    </row>
    <row r="63" spans="1:6" ht="16.5">
      <c r="A63" s="11">
        <v>55</v>
      </c>
      <c r="B63" s="11" t="s">
        <v>1339</v>
      </c>
      <c r="C63" s="13" t="s">
        <v>1346</v>
      </c>
      <c r="D63" s="8" t="str">
        <f>IFERROR(_xlfn.XLOOKUP(C63,index.html!C:C,index.html!D:D)," ")</f>
        <v xml:space="preserve"> </v>
      </c>
      <c r="E63" s="13" t="s">
        <v>1347</v>
      </c>
      <c r="F63" s="13" t="s">
        <v>1348</v>
      </c>
    </row>
    <row r="64" spans="1:6" ht="16.5">
      <c r="A64" s="10">
        <v>56</v>
      </c>
      <c r="B64" s="10" t="s">
        <v>147</v>
      </c>
      <c r="C64" s="14" t="s">
        <v>1349</v>
      </c>
      <c r="D64" s="8" t="str">
        <f>IFERROR(_xlfn.XLOOKUP(C64,index.html!C:C,index.html!D:D)," ")</f>
        <v xml:space="preserve"> </v>
      </c>
      <c r="E64" s="14" t="s">
        <v>1350</v>
      </c>
      <c r="F64" s="10"/>
    </row>
    <row r="65" spans="1:6" ht="83.25">
      <c r="A65" s="11">
        <v>57</v>
      </c>
      <c r="B65" s="11" t="s">
        <v>147</v>
      </c>
      <c r="C65" s="13" t="s">
        <v>1351</v>
      </c>
      <c r="D65" s="13" t="s">
        <v>1352</v>
      </c>
      <c r="E65" s="13" t="s">
        <v>1353</v>
      </c>
      <c r="F65" s="13" t="s">
        <v>1354</v>
      </c>
    </row>
    <row r="66" spans="1:6" ht="16.5">
      <c r="A66" s="10">
        <v>58</v>
      </c>
      <c r="B66" s="10" t="s">
        <v>147</v>
      </c>
      <c r="C66" s="14" t="s">
        <v>1355</v>
      </c>
      <c r="D66" s="8" t="str">
        <f>IFERROR(_xlfn.XLOOKUP(C66,index.html!C:C,index.html!D:D)," ")</f>
        <v xml:space="preserve"> </v>
      </c>
      <c r="E66" s="14" t="s">
        <v>1356</v>
      </c>
      <c r="F66" s="10"/>
    </row>
    <row r="67" spans="1:6" ht="50.25">
      <c r="A67" s="11">
        <v>59</v>
      </c>
      <c r="B67" s="11" t="s">
        <v>147</v>
      </c>
      <c r="C67" s="13" t="s">
        <v>1357</v>
      </c>
      <c r="D67" s="8" t="s">
        <v>1358</v>
      </c>
      <c r="E67" s="13" t="s">
        <v>1359</v>
      </c>
      <c r="F67" s="11" t="s">
        <v>1360</v>
      </c>
    </row>
    <row r="68" spans="1:6" ht="33">
      <c r="A68" s="10">
        <v>60</v>
      </c>
      <c r="B68" s="10" t="s">
        <v>1361</v>
      </c>
      <c r="C68" s="14" t="s">
        <v>1362</v>
      </c>
      <c r="D68" s="8" t="s">
        <v>1363</v>
      </c>
      <c r="E68" s="14" t="s">
        <v>1364</v>
      </c>
      <c r="F68" s="10" t="s">
        <v>1365</v>
      </c>
    </row>
    <row r="69" spans="1:6" ht="16.5">
      <c r="A69" s="11">
        <v>61</v>
      </c>
      <c r="B69" s="11" t="s">
        <v>1361</v>
      </c>
      <c r="C69" s="13" t="s">
        <v>1366</v>
      </c>
      <c r="D69" s="8" t="str">
        <f>IFERROR(_xlfn.XLOOKUP(C69,index.html!C:C,index.html!D:D)," ")</f>
        <v xml:space="preserve"> </v>
      </c>
      <c r="E69" s="13" t="s">
        <v>1367</v>
      </c>
      <c r="F69" s="11" t="s">
        <v>1368</v>
      </c>
    </row>
    <row r="70" spans="1:6" ht="83.25">
      <c r="A70" s="10">
        <v>62</v>
      </c>
      <c r="B70" s="10" t="s">
        <v>1361</v>
      </c>
      <c r="C70" s="14" t="s">
        <v>1369</v>
      </c>
      <c r="D70" s="8" t="s">
        <v>1370</v>
      </c>
      <c r="E70" s="14" t="s">
        <v>1371</v>
      </c>
      <c r="F70" s="8" t="s">
        <v>1370</v>
      </c>
    </row>
    <row r="71" spans="1:6" ht="16.5">
      <c r="A71" s="11">
        <v>63</v>
      </c>
      <c r="B71" s="11" t="s">
        <v>1361</v>
      </c>
      <c r="C71" s="13" t="s">
        <v>1372</v>
      </c>
      <c r="D71" s="8" t="str">
        <f>IFERROR(_xlfn.XLOOKUP(C71,index.html!C:C,index.html!D:D)," ")</f>
        <v xml:space="preserve"> </v>
      </c>
      <c r="E71" s="13" t="s">
        <v>1373</v>
      </c>
      <c r="F71" s="11"/>
    </row>
    <row r="72" spans="1:6" ht="51">
      <c r="A72" s="10">
        <v>64</v>
      </c>
      <c r="B72" s="10" t="s">
        <v>1361</v>
      </c>
      <c r="C72" s="14" t="s">
        <v>1374</v>
      </c>
      <c r="D72" s="8" t="s">
        <v>1375</v>
      </c>
      <c r="E72" s="14" t="s">
        <v>1376</v>
      </c>
      <c r="F72" s="8" t="s">
        <v>1375</v>
      </c>
    </row>
    <row r="73" spans="1:6" ht="16.5">
      <c r="A73" s="11">
        <v>65</v>
      </c>
      <c r="B73" s="11" t="s">
        <v>1026</v>
      </c>
      <c r="C73" s="13" t="s">
        <v>1377</v>
      </c>
      <c r="D73" s="8" t="str">
        <f>IFERROR(_xlfn.XLOOKUP(C73,index.html!C:C,index.html!D:D)," ")</f>
        <v xml:space="preserve"> </v>
      </c>
      <c r="E73" s="13" t="s">
        <v>1378</v>
      </c>
      <c r="F73" s="11"/>
    </row>
    <row r="74" spans="1:6" ht="83.25">
      <c r="A74" s="10">
        <v>66</v>
      </c>
      <c r="B74" s="10" t="s">
        <v>1026</v>
      </c>
      <c r="C74" s="14" t="s">
        <v>1379</v>
      </c>
      <c r="D74" s="78" t="s">
        <v>1380</v>
      </c>
      <c r="E74" s="14" t="s">
        <v>1381</v>
      </c>
      <c r="F74" s="78" t="s">
        <v>1380</v>
      </c>
    </row>
    <row r="75" spans="1:6" ht="16.5">
      <c r="A75" s="11">
        <v>67</v>
      </c>
      <c r="B75" s="11" t="s">
        <v>352</v>
      </c>
      <c r="C75" s="13" t="s">
        <v>79</v>
      </c>
      <c r="D75" s="8" t="str">
        <f>IFERROR(_xlfn.XLOOKUP(C75,index.html!C:C,index.html!D:D)," ")</f>
        <v>立即申请</v>
      </c>
      <c r="E75" s="13" t="s">
        <v>80</v>
      </c>
      <c r="F75" s="11"/>
    </row>
    <row r="76" spans="1:6" ht="16.5">
      <c r="A76" s="10">
        <v>68</v>
      </c>
      <c r="B76" s="10" t="s">
        <v>352</v>
      </c>
      <c r="C76" s="14" t="s">
        <v>606</v>
      </c>
      <c r="D76" s="10" t="s">
        <v>1187</v>
      </c>
      <c r="E76" s="14" t="s">
        <v>607</v>
      </c>
      <c r="F76" s="10" t="s">
        <v>1187</v>
      </c>
    </row>
  </sheetData>
  <hyperlinks>
    <hyperlink ref="B4" r:id="rId1" xr:uid="{BAD6F8D5-ACE3-479B-AC3E-107FE9A44E5A}"/>
  </hyperlinks>
  <pageMargins left="0.75" right="0.75" top="1" bottom="1" header="0.5" footer="0.5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5"/>
  <sheetViews>
    <sheetView workbookViewId="0">
      <selection activeCell="F34" sqref="F34"/>
    </sheetView>
  </sheetViews>
  <sheetFormatPr defaultRowHeight="15"/>
  <cols>
    <col min="1" max="1" width="12.5703125" bestFit="1" customWidth="1"/>
    <col min="2" max="2" width="56.42578125" bestFit="1" customWidth="1"/>
    <col min="3" max="3" width="45" customWidth="1"/>
    <col min="4" max="4" width="20" customWidth="1"/>
    <col min="5" max="5" width="45" customWidth="1"/>
    <col min="6" max="6" width="20" customWidth="1"/>
  </cols>
  <sheetData>
    <row r="1" spans="1:6">
      <c r="A1" s="12" t="s">
        <v>10</v>
      </c>
      <c r="B1" t="s">
        <v>11</v>
      </c>
    </row>
    <row r="2" spans="1:6">
      <c r="A2" s="12" t="s">
        <v>966</v>
      </c>
      <c r="B2" t="s">
        <v>34</v>
      </c>
    </row>
    <row r="3" spans="1:6">
      <c r="A3" s="12" t="s">
        <v>967</v>
      </c>
      <c r="B3" t="s">
        <v>72</v>
      </c>
    </row>
    <row r="4" spans="1:6">
      <c r="A4" s="12" t="s">
        <v>968</v>
      </c>
      <c r="B4" s="33" t="s">
        <v>35</v>
      </c>
    </row>
    <row r="5" spans="1:6">
      <c r="A5" s="12" t="s">
        <v>969</v>
      </c>
      <c r="B5">
        <v>57</v>
      </c>
    </row>
    <row r="6" spans="1:6">
      <c r="A6" s="12" t="s">
        <v>970</v>
      </c>
      <c r="B6" t="s">
        <v>14</v>
      </c>
    </row>
    <row r="7" spans="1:6">
      <c r="A7" s="12" t="s">
        <v>971</v>
      </c>
      <c r="B7" t="s">
        <v>50</v>
      </c>
    </row>
    <row r="8" spans="1:6">
      <c r="A8" s="35" t="s">
        <v>972</v>
      </c>
      <c r="B8" s="35" t="s">
        <v>59</v>
      </c>
      <c r="C8" s="34" t="s">
        <v>60</v>
      </c>
      <c r="D8" s="34" t="s">
        <v>61</v>
      </c>
      <c r="E8" s="34" t="s">
        <v>62</v>
      </c>
      <c r="F8" s="34" t="s">
        <v>63</v>
      </c>
    </row>
    <row r="9" spans="1:6" ht="16.5">
      <c r="A9" s="11">
        <v>1</v>
      </c>
      <c r="B9" s="11" t="s">
        <v>64</v>
      </c>
      <c r="C9" s="13" t="s">
        <v>65</v>
      </c>
      <c r="D9" s="11">
        <f>IFERROR(_xlfn.XLOOKUP(C9,index.html!C:C,index.html!D:D)," ")</f>
        <v>0</v>
      </c>
      <c r="E9" s="13" t="s">
        <v>65</v>
      </c>
      <c r="F9" s="11"/>
    </row>
    <row r="10" spans="1:6" ht="16.5">
      <c r="A10" s="10">
        <v>2</v>
      </c>
      <c r="B10" s="10" t="s">
        <v>64</v>
      </c>
      <c r="C10" s="14" t="s">
        <v>66</v>
      </c>
      <c r="D10" s="10">
        <f>IFERROR(_xlfn.XLOOKUP(C10,index.html!C:C,index.html!D:D)," ")</f>
        <v>0</v>
      </c>
      <c r="E10" s="14" t="s">
        <v>66</v>
      </c>
      <c r="F10" s="10"/>
    </row>
    <row r="11" spans="1:6" ht="16.5">
      <c r="A11" s="11">
        <v>3</v>
      </c>
      <c r="B11" s="11" t="s">
        <v>973</v>
      </c>
      <c r="C11" s="13" t="s">
        <v>443</v>
      </c>
      <c r="D11" s="11" t="str">
        <f>IFERROR(_xlfn.XLOOKUP(C11,index.html!C:C,index.html!D:D)," ")</f>
        <v xml:space="preserve"> </v>
      </c>
      <c r="E11" s="13" t="s">
        <v>444</v>
      </c>
      <c r="F11" s="11"/>
    </row>
    <row r="12" spans="1:6" ht="16.5">
      <c r="A12" s="10">
        <v>4</v>
      </c>
      <c r="B12" s="10" t="s">
        <v>973</v>
      </c>
      <c r="C12" s="14" t="s">
        <v>436</v>
      </c>
      <c r="D12" s="10" t="str">
        <f>IFERROR(_xlfn.XLOOKUP(C12,index.html!C:C,index.html!D:D)," ")</f>
        <v xml:space="preserve"> </v>
      </c>
      <c r="E12" s="14" t="s">
        <v>437</v>
      </c>
      <c r="F12" s="10"/>
    </row>
    <row r="13" spans="1:6" ht="16.5">
      <c r="A13" s="11">
        <v>5</v>
      </c>
      <c r="B13" s="11" t="s">
        <v>973</v>
      </c>
      <c r="C13" s="13" t="s">
        <v>354</v>
      </c>
      <c r="D13" s="11" t="str">
        <f>IFERROR(_xlfn.XLOOKUP(C13,index.html!C:C,index.html!D:D)," ")</f>
        <v xml:space="preserve"> </v>
      </c>
      <c r="E13" s="13" t="s">
        <v>438</v>
      </c>
      <c r="F13" s="11"/>
    </row>
    <row r="14" spans="1:6" ht="16.5">
      <c r="A14" s="10">
        <v>6</v>
      </c>
      <c r="B14" s="10" t="s">
        <v>973</v>
      </c>
      <c r="C14" s="14" t="s">
        <v>344</v>
      </c>
      <c r="D14" s="10" t="str">
        <f>IFERROR(_xlfn.XLOOKUP(C14,index.html!C:C,index.html!D:D)," ")</f>
        <v xml:space="preserve"> </v>
      </c>
      <c r="E14" s="14" t="s">
        <v>72</v>
      </c>
      <c r="F14" s="10"/>
    </row>
    <row r="15" spans="1:6" ht="16.5">
      <c r="A15" s="11">
        <v>7</v>
      </c>
      <c r="B15" s="11" t="s">
        <v>973</v>
      </c>
      <c r="C15" s="13" t="s">
        <v>439</v>
      </c>
      <c r="D15" s="11" t="str">
        <f>IFERROR(_xlfn.XLOOKUP(C15,index.html!C:C,index.html!D:D)," ")</f>
        <v xml:space="preserve"> </v>
      </c>
      <c r="E15" s="13" t="s">
        <v>161</v>
      </c>
      <c r="F15" s="11"/>
    </row>
    <row r="16" spans="1:6" ht="16.5">
      <c r="A16" s="10">
        <v>8</v>
      </c>
      <c r="B16" s="10" t="s">
        <v>973</v>
      </c>
      <c r="C16" s="14" t="s">
        <v>440</v>
      </c>
      <c r="D16" s="10" t="str">
        <f>IFERROR(_xlfn.XLOOKUP(C16,index.html!C:C,index.html!D:D)," ")</f>
        <v xml:space="preserve"> </v>
      </c>
      <c r="E16" s="14" t="s">
        <v>441</v>
      </c>
      <c r="F16" s="10"/>
    </row>
    <row r="17" spans="1:6" ht="16.5">
      <c r="A17" s="11">
        <v>9</v>
      </c>
      <c r="B17" s="11" t="s">
        <v>973</v>
      </c>
      <c r="C17" s="13" t="s">
        <v>79</v>
      </c>
      <c r="D17" s="11" t="str">
        <f>IFERROR(_xlfn.XLOOKUP(C17,index.html!C:C,index.html!D:D)," ")</f>
        <v>立即申请</v>
      </c>
      <c r="E17" s="13" t="s">
        <v>80</v>
      </c>
      <c r="F17" s="11"/>
    </row>
    <row r="18" spans="1:6" ht="16.5">
      <c r="A18" s="10">
        <v>10</v>
      </c>
      <c r="B18" s="10" t="s">
        <v>360</v>
      </c>
      <c r="C18" s="14" t="s">
        <v>1382</v>
      </c>
      <c r="D18" s="10" t="str">
        <f>IFERROR(_xlfn.XLOOKUP(C18,index.html!C:C,index.html!D:D)," ")</f>
        <v xml:space="preserve"> </v>
      </c>
      <c r="E18" s="14" t="s">
        <v>1382</v>
      </c>
      <c r="F18" s="10"/>
    </row>
    <row r="19" spans="1:6" ht="84">
      <c r="A19" s="11">
        <v>11</v>
      </c>
      <c r="B19" s="11" t="s">
        <v>360</v>
      </c>
      <c r="C19" s="13" t="s">
        <v>1383</v>
      </c>
      <c r="D19" s="11" t="str">
        <f>IFERROR(_xlfn.XLOOKUP(C19,index.html!C:C,index.html!D:D)," ")</f>
        <v xml:space="preserve"> </v>
      </c>
      <c r="E19" s="13" t="s">
        <v>1384</v>
      </c>
      <c r="F19" s="11"/>
    </row>
    <row r="20" spans="1:6" ht="16.5">
      <c r="A20" s="10">
        <v>12</v>
      </c>
      <c r="B20" s="10" t="s">
        <v>93</v>
      </c>
      <c r="C20" s="14" t="s">
        <v>701</v>
      </c>
      <c r="D20" s="10" t="str">
        <f>IFERROR(_xlfn.XLOOKUP(C20,index.html!C:C,index.html!D:D)," ")</f>
        <v xml:space="preserve"> </v>
      </c>
      <c r="E20" s="14" t="s">
        <v>96</v>
      </c>
      <c r="F20" s="10"/>
    </row>
    <row r="21" spans="1:6" ht="16.5">
      <c r="A21" s="11">
        <v>13</v>
      </c>
      <c r="B21" s="11" t="s">
        <v>93</v>
      </c>
      <c r="C21" s="13" t="s">
        <v>439</v>
      </c>
      <c r="D21" s="11" t="str">
        <f>IFERROR(_xlfn.XLOOKUP(C21,index.html!C:C,index.html!D:D)," ")</f>
        <v xml:space="preserve"> </v>
      </c>
      <c r="E21" s="13" t="s">
        <v>161</v>
      </c>
      <c r="F21" s="11"/>
    </row>
    <row r="22" spans="1:6" ht="16.5">
      <c r="A22" s="10">
        <v>14</v>
      </c>
      <c r="B22" s="10" t="s">
        <v>93</v>
      </c>
      <c r="C22" s="14" t="s">
        <v>703</v>
      </c>
      <c r="D22" s="10" t="str">
        <f>IFERROR(_xlfn.XLOOKUP(C22,index.html!C:C,index.html!D:D)," ")</f>
        <v xml:space="preserve"> </v>
      </c>
      <c r="E22" s="14" t="s">
        <v>705</v>
      </c>
      <c r="F22" s="10"/>
    </row>
    <row r="23" spans="1:6" ht="47.25">
      <c r="A23" s="11">
        <v>15</v>
      </c>
      <c r="B23" s="11" t="s">
        <v>1385</v>
      </c>
      <c r="C23" s="13" t="s">
        <v>1386</v>
      </c>
      <c r="D23" s="11" t="str">
        <f>IFERROR(_xlfn.XLOOKUP(C23,index.html!C:C,index.html!D:D)," ")</f>
        <v xml:space="preserve"> </v>
      </c>
      <c r="E23" s="13" t="s">
        <v>1387</v>
      </c>
      <c r="F23" s="11"/>
    </row>
    <row r="24" spans="1:6" ht="16.5">
      <c r="A24" s="10">
        <v>16</v>
      </c>
      <c r="B24" s="10" t="s">
        <v>147</v>
      </c>
      <c r="C24" s="14" t="s">
        <v>1388</v>
      </c>
      <c r="D24" s="10" t="str">
        <f>IFERROR(_xlfn.XLOOKUP(C24,index.html!C:C,index.html!D:D)," ")</f>
        <v xml:space="preserve"> </v>
      </c>
      <c r="E24" s="14" t="s">
        <v>1388</v>
      </c>
      <c r="F24" s="10"/>
    </row>
    <row r="25" spans="1:6" ht="51">
      <c r="A25" s="11">
        <v>17</v>
      </c>
      <c r="B25" s="11" t="s">
        <v>147</v>
      </c>
      <c r="C25" s="13" t="s">
        <v>1389</v>
      </c>
      <c r="D25" s="11" t="str">
        <f>IFERROR(_xlfn.XLOOKUP(C25,index.html!C:C,index.html!D:D)," ")</f>
        <v xml:space="preserve"> </v>
      </c>
      <c r="E25" s="13" t="s">
        <v>1390</v>
      </c>
      <c r="F25" s="11"/>
    </row>
    <row r="26" spans="1:6" ht="16.5">
      <c r="A26" s="10">
        <v>18</v>
      </c>
      <c r="B26" s="10" t="s">
        <v>147</v>
      </c>
      <c r="C26" s="14" t="s">
        <v>1391</v>
      </c>
      <c r="D26" s="10" t="str">
        <f>IFERROR(_xlfn.XLOOKUP(C26,index.html!C:C,index.html!D:D)," ")</f>
        <v xml:space="preserve"> </v>
      </c>
      <c r="E26" s="14" t="s">
        <v>1391</v>
      </c>
      <c r="F26" s="10"/>
    </row>
    <row r="27" spans="1:6" ht="16.5">
      <c r="A27" s="11">
        <v>19</v>
      </c>
      <c r="B27" s="11" t="s">
        <v>147</v>
      </c>
      <c r="C27" s="13" t="s">
        <v>1392</v>
      </c>
      <c r="D27" s="11" t="str">
        <f>IFERROR(_xlfn.XLOOKUP(C27,index.html!C:C,index.html!D:D)," ")</f>
        <v xml:space="preserve"> </v>
      </c>
      <c r="E27" s="13" t="s">
        <v>1393</v>
      </c>
      <c r="F27" s="11"/>
    </row>
    <row r="28" spans="1:6" ht="16.5">
      <c r="A28" s="10">
        <v>20</v>
      </c>
      <c r="B28" s="10" t="s">
        <v>147</v>
      </c>
      <c r="C28" s="14" t="s">
        <v>1394</v>
      </c>
      <c r="D28" s="10" t="str">
        <f>IFERROR(_xlfn.XLOOKUP(C28,index.html!C:C,index.html!D:D)," ")</f>
        <v xml:space="preserve"> </v>
      </c>
      <c r="E28" s="14" t="s">
        <v>1395</v>
      </c>
      <c r="F28" s="10"/>
    </row>
    <row r="29" spans="1:6" ht="16.5">
      <c r="A29" s="11">
        <v>21</v>
      </c>
      <c r="B29" s="11" t="s">
        <v>147</v>
      </c>
      <c r="C29" s="13" t="s">
        <v>1396</v>
      </c>
      <c r="D29" s="11" t="str">
        <f>IFERROR(_xlfn.XLOOKUP(C29,index.html!C:C,index.html!D:D)," ")</f>
        <v xml:space="preserve"> </v>
      </c>
      <c r="E29" s="13" t="s">
        <v>1397</v>
      </c>
      <c r="F29" s="11"/>
    </row>
    <row r="30" spans="1:6" ht="51">
      <c r="A30" s="10">
        <v>22</v>
      </c>
      <c r="B30" s="10" t="s">
        <v>147</v>
      </c>
      <c r="C30" s="14" t="s">
        <v>1398</v>
      </c>
      <c r="D30" s="10" t="str">
        <f>IFERROR(_xlfn.XLOOKUP(C30,index.html!C:C,index.html!D:D)," ")</f>
        <v xml:space="preserve"> </v>
      </c>
      <c r="E30" s="14" t="s">
        <v>1399</v>
      </c>
      <c r="F30" s="10"/>
    </row>
    <row r="31" spans="1:6" ht="16.5">
      <c r="A31" s="11">
        <v>23</v>
      </c>
      <c r="B31" s="11" t="s">
        <v>1009</v>
      </c>
      <c r="C31" s="13" t="s">
        <v>1400</v>
      </c>
      <c r="D31" s="11" t="str">
        <f>IFERROR(_xlfn.XLOOKUP(C31,index.html!C:C,index.html!D:D)," ")</f>
        <v xml:space="preserve"> </v>
      </c>
      <c r="E31" s="13" t="s">
        <v>1400</v>
      </c>
      <c r="F31" s="11"/>
    </row>
    <row r="32" spans="1:6" ht="33">
      <c r="A32" s="10">
        <v>24</v>
      </c>
      <c r="B32" s="10" t="s">
        <v>1009</v>
      </c>
      <c r="C32" s="14" t="s">
        <v>1401</v>
      </c>
      <c r="D32" s="10" t="str">
        <f>IFERROR(_xlfn.XLOOKUP(C32,index.html!C:C,index.html!D:D)," ")</f>
        <v xml:space="preserve"> </v>
      </c>
      <c r="E32" s="14" t="s">
        <v>1402</v>
      </c>
      <c r="F32" s="10"/>
    </row>
    <row r="33" spans="1:6" ht="33">
      <c r="A33" s="11">
        <v>25</v>
      </c>
      <c r="B33" s="11" t="s">
        <v>1009</v>
      </c>
      <c r="C33" s="13" t="s">
        <v>1403</v>
      </c>
      <c r="D33" s="11" t="str">
        <f>IFERROR(_xlfn.XLOOKUP(C33,index.html!C:C,index.html!D:D)," ")</f>
        <v xml:space="preserve"> </v>
      </c>
      <c r="E33" s="13" t="s">
        <v>1404</v>
      </c>
      <c r="F33" s="11"/>
    </row>
    <row r="34" spans="1:6" ht="16.5">
      <c r="A34" s="10">
        <v>26</v>
      </c>
      <c r="B34" s="10" t="s">
        <v>1009</v>
      </c>
      <c r="C34" s="14" t="s">
        <v>1405</v>
      </c>
      <c r="D34" s="10" t="str">
        <f>IFERROR(_xlfn.XLOOKUP(C34,index.html!C:C,index.html!D:D)," ")</f>
        <v xml:space="preserve"> </v>
      </c>
      <c r="E34" s="14" t="s">
        <v>1406</v>
      </c>
      <c r="F34" s="10"/>
    </row>
    <row r="35" spans="1:6" ht="16.5">
      <c r="A35" s="11">
        <v>27</v>
      </c>
      <c r="B35" s="11" t="s">
        <v>1009</v>
      </c>
      <c r="C35" s="13" t="s">
        <v>1407</v>
      </c>
      <c r="D35" s="11" t="str">
        <f>IFERROR(_xlfn.XLOOKUP(C35,index.html!C:C,index.html!D:D)," ")</f>
        <v xml:space="preserve"> </v>
      </c>
      <c r="E35" s="13" t="s">
        <v>1408</v>
      </c>
      <c r="F35" s="11"/>
    </row>
    <row r="36" spans="1:6" ht="67.5">
      <c r="A36" s="10">
        <v>28</v>
      </c>
      <c r="B36" s="10" t="s">
        <v>1009</v>
      </c>
      <c r="C36" s="14" t="s">
        <v>1409</v>
      </c>
      <c r="D36" s="10" t="str">
        <f>IFERROR(_xlfn.XLOOKUP(C36,index.html!C:C,index.html!D:D)," ")</f>
        <v xml:space="preserve"> </v>
      </c>
      <c r="E36" s="14" t="s">
        <v>1410</v>
      </c>
      <c r="F36" s="10"/>
    </row>
    <row r="37" spans="1:6" ht="16.5">
      <c r="A37" s="11">
        <v>29</v>
      </c>
      <c r="B37" s="11" t="s">
        <v>1411</v>
      </c>
      <c r="C37" s="13" t="s">
        <v>1412</v>
      </c>
      <c r="D37" s="11" t="str">
        <f>IFERROR(_xlfn.XLOOKUP(C37,index.html!C:C,index.html!D:D)," ")</f>
        <v xml:space="preserve"> </v>
      </c>
      <c r="E37" s="13" t="s">
        <v>1413</v>
      </c>
      <c r="F37" s="11"/>
    </row>
    <row r="38" spans="1:6" ht="16.5">
      <c r="A38" s="10">
        <v>30</v>
      </c>
      <c r="B38" s="10" t="s">
        <v>147</v>
      </c>
      <c r="C38" s="14" t="s">
        <v>1414</v>
      </c>
      <c r="D38" s="10" t="str">
        <f>IFERROR(_xlfn.XLOOKUP(C38,index.html!C:C,index.html!D:D)," ")</f>
        <v xml:space="preserve"> </v>
      </c>
      <c r="E38" s="14" t="s">
        <v>1415</v>
      </c>
      <c r="F38" s="10"/>
    </row>
    <row r="39" spans="1:6" ht="51">
      <c r="A39" s="11">
        <v>31</v>
      </c>
      <c r="B39" s="11" t="s">
        <v>147</v>
      </c>
      <c r="C39" s="13" t="s">
        <v>1416</v>
      </c>
      <c r="D39" s="11" t="str">
        <f>IFERROR(_xlfn.XLOOKUP(C39,index.html!C:C,index.html!D:D)," ")</f>
        <v xml:space="preserve"> </v>
      </c>
      <c r="E39" s="13" t="s">
        <v>1417</v>
      </c>
      <c r="F39" s="11"/>
    </row>
    <row r="40" spans="1:6" ht="16.5">
      <c r="A40" s="10">
        <v>32</v>
      </c>
      <c r="B40" s="10" t="s">
        <v>147</v>
      </c>
      <c r="C40" s="14" t="s">
        <v>1418</v>
      </c>
      <c r="D40" s="10" t="str">
        <f>IFERROR(_xlfn.XLOOKUP(C40,index.html!C:C,index.html!D:D)," ")</f>
        <v xml:space="preserve"> </v>
      </c>
      <c r="E40" s="14" t="s">
        <v>1418</v>
      </c>
      <c r="F40" s="10"/>
    </row>
    <row r="41" spans="1:6" ht="51">
      <c r="A41" s="11">
        <v>33</v>
      </c>
      <c r="B41" s="11" t="s">
        <v>147</v>
      </c>
      <c r="C41" s="13" t="s">
        <v>1419</v>
      </c>
      <c r="D41" s="11" t="str">
        <f>IFERROR(_xlfn.XLOOKUP(C41,index.html!C:C,index.html!D:D)," ")</f>
        <v xml:space="preserve"> </v>
      </c>
      <c r="E41" s="13" t="s">
        <v>1420</v>
      </c>
      <c r="F41" s="11"/>
    </row>
    <row r="42" spans="1:6" ht="16.5">
      <c r="A42" s="10">
        <v>34</v>
      </c>
      <c r="B42" s="10" t="s">
        <v>147</v>
      </c>
      <c r="C42" s="14" t="s">
        <v>1421</v>
      </c>
      <c r="D42" s="10" t="str">
        <f>IFERROR(_xlfn.XLOOKUP(C42,index.html!C:C,index.html!D:D)," ")</f>
        <v xml:space="preserve"> </v>
      </c>
      <c r="E42" s="14" t="s">
        <v>1422</v>
      </c>
      <c r="F42" s="10"/>
    </row>
    <row r="43" spans="1:6" ht="33">
      <c r="A43" s="11">
        <v>35</v>
      </c>
      <c r="B43" s="11" t="s">
        <v>147</v>
      </c>
      <c r="C43" s="13" t="s">
        <v>1423</v>
      </c>
      <c r="D43" s="11" t="str">
        <f>IFERROR(_xlfn.XLOOKUP(C43,index.html!C:C,index.html!D:D)," ")</f>
        <v xml:space="preserve"> </v>
      </c>
      <c r="E43" s="13" t="s">
        <v>1424</v>
      </c>
      <c r="F43" s="11"/>
    </row>
    <row r="44" spans="1:6" ht="16.5">
      <c r="A44" s="10">
        <v>36</v>
      </c>
      <c r="B44" s="10" t="s">
        <v>1425</v>
      </c>
      <c r="C44" s="14" t="s">
        <v>953</v>
      </c>
      <c r="D44" s="10" t="str">
        <f>IFERROR(_xlfn.XLOOKUP(C44,index.html!C:C,index.html!D:D)," ")</f>
        <v xml:space="preserve"> </v>
      </c>
      <c r="E44" s="14" t="s">
        <v>955</v>
      </c>
      <c r="F44" s="10"/>
    </row>
    <row r="45" spans="1:6" ht="16.5">
      <c r="A45" s="11">
        <v>37</v>
      </c>
      <c r="B45" s="11" t="s">
        <v>1009</v>
      </c>
      <c r="C45" s="13" t="s">
        <v>1426</v>
      </c>
      <c r="D45" s="11" t="str">
        <f>IFERROR(_xlfn.XLOOKUP(C45,index.html!C:C,index.html!D:D)," ")</f>
        <v xml:space="preserve"> </v>
      </c>
      <c r="E45" s="13" t="s">
        <v>1427</v>
      </c>
      <c r="F45" s="11"/>
    </row>
    <row r="46" spans="1:6" ht="16.5">
      <c r="A46" s="10">
        <v>38</v>
      </c>
      <c r="B46" s="10" t="s">
        <v>1009</v>
      </c>
      <c r="C46" s="14" t="s">
        <v>1293</v>
      </c>
      <c r="D46" s="10" t="str">
        <f>IFERROR(_xlfn.XLOOKUP(C46,index.html!C:C,index.html!D:D)," ")</f>
        <v xml:space="preserve"> </v>
      </c>
      <c r="E46" s="14" t="s">
        <v>1295</v>
      </c>
      <c r="F46" s="10"/>
    </row>
    <row r="47" spans="1:6" ht="16.5">
      <c r="A47" s="11">
        <v>39</v>
      </c>
      <c r="B47" s="11" t="s">
        <v>1009</v>
      </c>
      <c r="C47" s="13" t="s">
        <v>1428</v>
      </c>
      <c r="D47" s="11" t="str">
        <f>IFERROR(_xlfn.XLOOKUP(C47,index.html!C:C,index.html!D:D)," ")</f>
        <v xml:space="preserve"> </v>
      </c>
      <c r="E47" s="13" t="s">
        <v>1429</v>
      </c>
      <c r="F47" s="11"/>
    </row>
    <row r="48" spans="1:6" ht="33">
      <c r="A48" s="10">
        <v>40</v>
      </c>
      <c r="B48" s="10" t="s">
        <v>1009</v>
      </c>
      <c r="C48" s="14" t="s">
        <v>1430</v>
      </c>
      <c r="D48" s="10" t="str">
        <f>IFERROR(_xlfn.XLOOKUP(C48,index.html!C:C,index.html!D:D)," ")</f>
        <v xml:space="preserve"> </v>
      </c>
      <c r="E48" s="14" t="s">
        <v>1431</v>
      </c>
      <c r="F48" s="10"/>
    </row>
    <row r="49" spans="1:6" ht="16.5">
      <c r="A49" s="11">
        <v>41</v>
      </c>
      <c r="B49" s="11" t="s">
        <v>1009</v>
      </c>
      <c r="C49" s="13" t="s">
        <v>1311</v>
      </c>
      <c r="D49" s="11" t="str">
        <f>IFERROR(_xlfn.XLOOKUP(C49,index.html!C:C,index.html!D:D)," ")</f>
        <v xml:space="preserve"> </v>
      </c>
      <c r="E49" s="13" t="s">
        <v>1313</v>
      </c>
      <c r="F49" s="11"/>
    </row>
    <row r="50" spans="1:6" ht="16.5">
      <c r="A50" s="10">
        <v>42</v>
      </c>
      <c r="B50" s="10" t="s">
        <v>1009</v>
      </c>
      <c r="C50" s="14" t="s">
        <v>1315</v>
      </c>
      <c r="D50" s="10" t="str">
        <f>IFERROR(_xlfn.XLOOKUP(C50,index.html!C:C,index.html!D:D)," ")</f>
        <v xml:space="preserve"> </v>
      </c>
      <c r="E50" s="14" t="s">
        <v>1317</v>
      </c>
      <c r="F50" s="10"/>
    </row>
    <row r="51" spans="1:6" ht="16.5">
      <c r="A51" s="11">
        <v>43</v>
      </c>
      <c r="B51" s="11" t="s">
        <v>1009</v>
      </c>
      <c r="C51" s="13" t="s">
        <v>1318</v>
      </c>
      <c r="D51" s="11" t="str">
        <f>IFERROR(_xlfn.XLOOKUP(C51,index.html!C:C,index.html!D:D)," ")</f>
        <v xml:space="preserve"> </v>
      </c>
      <c r="E51" s="13" t="s">
        <v>1319</v>
      </c>
      <c r="F51" s="11"/>
    </row>
    <row r="52" spans="1:6" ht="16.5">
      <c r="A52" s="10">
        <v>44</v>
      </c>
      <c r="B52" s="10" t="s">
        <v>1009</v>
      </c>
      <c r="C52" s="14" t="s">
        <v>1432</v>
      </c>
      <c r="D52" s="10" t="str">
        <f>IFERROR(_xlfn.XLOOKUP(C52,index.html!C:C,index.html!D:D)," ")</f>
        <v xml:space="preserve"> </v>
      </c>
      <c r="E52" s="14" t="s">
        <v>1433</v>
      </c>
      <c r="F52" s="10"/>
    </row>
    <row r="53" spans="1:6" ht="16.5">
      <c r="A53" s="11">
        <v>45</v>
      </c>
      <c r="B53" s="11" t="s">
        <v>1009</v>
      </c>
      <c r="C53" s="13" t="s">
        <v>1327</v>
      </c>
      <c r="D53" s="11" t="str">
        <f>IFERROR(_xlfn.XLOOKUP(C53,index.html!C:C,index.html!D:D)," ")</f>
        <v xml:space="preserve"> </v>
      </c>
      <c r="E53" s="13" t="s">
        <v>1328</v>
      </c>
      <c r="F53" s="11"/>
    </row>
    <row r="54" spans="1:6" ht="84">
      <c r="A54" s="10">
        <v>46</v>
      </c>
      <c r="B54" s="10" t="s">
        <v>1009</v>
      </c>
      <c r="C54" s="14" t="s">
        <v>1434</v>
      </c>
      <c r="D54" s="10" t="str">
        <f>IFERROR(_xlfn.XLOOKUP(C54,index.html!C:C,index.html!D:D)," ")</f>
        <v xml:space="preserve"> </v>
      </c>
      <c r="E54" s="14" t="s">
        <v>1435</v>
      </c>
      <c r="F54" s="10"/>
    </row>
    <row r="55" spans="1:6" ht="16.5">
      <c r="A55" s="11">
        <v>47</v>
      </c>
      <c r="B55" s="11" t="s">
        <v>1339</v>
      </c>
      <c r="C55" s="13" t="s">
        <v>1340</v>
      </c>
      <c r="D55" s="11" t="str">
        <f>IFERROR(_xlfn.XLOOKUP(C55,index.html!C:C,index.html!D:D)," ")</f>
        <v xml:space="preserve"> </v>
      </c>
      <c r="E55" s="13" t="s">
        <v>1342</v>
      </c>
      <c r="F55" s="11"/>
    </row>
    <row r="56" spans="1:6" ht="16.5">
      <c r="A56" s="10">
        <v>48</v>
      </c>
      <c r="B56" s="10" t="s">
        <v>1339</v>
      </c>
      <c r="C56" s="14" t="s">
        <v>1346</v>
      </c>
      <c r="D56" s="10" t="str">
        <f>IFERROR(_xlfn.XLOOKUP(C56,index.html!C:C,index.html!D:D)," ")</f>
        <v xml:space="preserve"> </v>
      </c>
      <c r="E56" s="14" t="s">
        <v>1347</v>
      </c>
      <c r="F56" s="10"/>
    </row>
    <row r="57" spans="1:6" ht="16.5">
      <c r="A57" s="11">
        <v>49</v>
      </c>
      <c r="B57" s="11" t="s">
        <v>1339</v>
      </c>
      <c r="C57" s="13" t="s">
        <v>1343</v>
      </c>
      <c r="D57" s="11" t="str">
        <f>IFERROR(_xlfn.XLOOKUP(C57,index.html!C:C,index.html!D:D)," ")</f>
        <v xml:space="preserve"> </v>
      </c>
      <c r="E57" s="13" t="s">
        <v>1345</v>
      </c>
      <c r="F57" s="11"/>
    </row>
    <row r="58" spans="1:6" ht="16.5">
      <c r="A58" s="10">
        <v>50</v>
      </c>
      <c r="B58" s="10" t="s">
        <v>1009</v>
      </c>
      <c r="C58" s="14" t="s">
        <v>1436</v>
      </c>
      <c r="D58" s="10" t="str">
        <f>IFERROR(_xlfn.XLOOKUP(C58,index.html!C:C,index.html!D:D)," ")</f>
        <v xml:space="preserve"> </v>
      </c>
      <c r="E58" s="14" t="s">
        <v>1437</v>
      </c>
      <c r="F58" s="10"/>
    </row>
    <row r="59" spans="1:6" ht="16.5">
      <c r="A59" s="11">
        <v>51</v>
      </c>
      <c r="B59" s="11" t="s">
        <v>1438</v>
      </c>
      <c r="C59" s="13" t="s">
        <v>1439</v>
      </c>
      <c r="D59" s="11" t="str">
        <f>IFERROR(_xlfn.XLOOKUP(C59,index.html!C:C,index.html!D:D)," ")</f>
        <v xml:space="preserve"> </v>
      </c>
      <c r="E59" s="13" t="s">
        <v>1439</v>
      </c>
      <c r="F59" s="11"/>
    </row>
    <row r="60" spans="1:6" ht="33">
      <c r="A60" s="10">
        <v>52</v>
      </c>
      <c r="B60" s="10" t="s">
        <v>1438</v>
      </c>
      <c r="C60" s="14" t="s">
        <v>1440</v>
      </c>
      <c r="D60" s="10" t="str">
        <f>IFERROR(_xlfn.XLOOKUP(C60,index.html!C:C,index.html!D:D)," ")</f>
        <v xml:space="preserve"> </v>
      </c>
      <c r="E60" s="14" t="s">
        <v>1441</v>
      </c>
      <c r="F60" s="10"/>
    </row>
    <row r="61" spans="1:6" ht="33">
      <c r="A61" s="11">
        <v>53</v>
      </c>
      <c r="B61" s="11" t="s">
        <v>1438</v>
      </c>
      <c r="C61" s="13" t="s">
        <v>1442</v>
      </c>
      <c r="D61" s="11" t="str">
        <f>IFERROR(_xlfn.XLOOKUP(C61,index.html!C:C,index.html!D:D)," ")</f>
        <v xml:space="preserve"> </v>
      </c>
      <c r="E61" s="13" t="s">
        <v>1443</v>
      </c>
      <c r="F61" s="11"/>
    </row>
    <row r="62" spans="1:6" ht="16.5">
      <c r="A62" s="10">
        <v>54</v>
      </c>
      <c r="B62" s="10" t="s">
        <v>1026</v>
      </c>
      <c r="C62" s="14" t="s">
        <v>1444</v>
      </c>
      <c r="D62" s="10" t="str">
        <f>IFERROR(_xlfn.XLOOKUP(C62,index.html!C:C,index.html!D:D)," ")</f>
        <v xml:space="preserve"> </v>
      </c>
      <c r="E62" s="14" t="s">
        <v>1445</v>
      </c>
      <c r="F62" s="10"/>
    </row>
    <row r="63" spans="1:6" ht="51">
      <c r="A63" s="11">
        <v>55</v>
      </c>
      <c r="B63" s="11" t="s">
        <v>1026</v>
      </c>
      <c r="C63" s="13" t="s">
        <v>1446</v>
      </c>
      <c r="D63" s="11" t="str">
        <f>IFERROR(_xlfn.XLOOKUP(C63,index.html!C:C,index.html!D:D)," ")</f>
        <v xml:space="preserve"> </v>
      </c>
      <c r="E63" s="13" t="s">
        <v>1447</v>
      </c>
      <c r="F63" s="11"/>
    </row>
    <row r="64" spans="1:6" ht="16.5">
      <c r="A64" s="10">
        <v>56</v>
      </c>
      <c r="B64" s="10" t="s">
        <v>352</v>
      </c>
      <c r="C64" s="14" t="s">
        <v>79</v>
      </c>
      <c r="D64" s="10" t="str">
        <f>IFERROR(_xlfn.XLOOKUP(C64,index.html!C:C,index.html!D:D)," ")</f>
        <v>立即申请</v>
      </c>
      <c r="E64" s="14" t="s">
        <v>80</v>
      </c>
      <c r="F64" s="10"/>
    </row>
    <row r="65" spans="1:6" ht="16.5">
      <c r="A65" s="11">
        <v>57</v>
      </c>
      <c r="B65" s="11" t="s">
        <v>352</v>
      </c>
      <c r="C65" s="13" t="s">
        <v>606</v>
      </c>
      <c r="D65" s="11" t="s">
        <v>1448</v>
      </c>
      <c r="E65" s="13" t="s">
        <v>607</v>
      </c>
      <c r="F65" s="11" t="s">
        <v>1448</v>
      </c>
    </row>
  </sheetData>
  <hyperlinks>
    <hyperlink ref="B4" r:id="rId1" xr:uid="{745E0E8E-3A48-463B-AE64-AB4413E7300C}"/>
  </hyperlinks>
  <pageMargins left="0.75" right="0.75" top="1" bottom="1" header="0.5" footer="0.5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/>
  </sheetPr>
  <dimension ref="A1:F86"/>
  <sheetViews>
    <sheetView workbookViewId="0">
      <selection activeCell="E97" sqref="E97"/>
    </sheetView>
  </sheetViews>
  <sheetFormatPr defaultRowHeight="15"/>
  <cols>
    <col min="1" max="1" width="17.28515625" bestFit="1" customWidth="1"/>
    <col min="2" max="2" width="45.7109375" bestFit="1" customWidth="1"/>
    <col min="3" max="3" width="45" customWidth="1"/>
    <col min="4" max="4" width="34.5703125" customWidth="1"/>
    <col min="5" max="5" width="45" customWidth="1"/>
    <col min="6" max="6" width="44" customWidth="1"/>
  </cols>
  <sheetData>
    <row r="1" spans="1:6">
      <c r="A1" s="15" t="s">
        <v>10</v>
      </c>
      <c r="B1" t="s">
        <v>11</v>
      </c>
    </row>
    <row r="2" spans="1:6">
      <c r="A2" s="15" t="s">
        <v>1449</v>
      </c>
      <c r="B2" s="33" t="s">
        <v>37</v>
      </c>
    </row>
    <row r="3" spans="1:6">
      <c r="A3" s="15" t="s">
        <v>1450</v>
      </c>
      <c r="B3" t="s">
        <v>1451</v>
      </c>
    </row>
    <row r="4" spans="1:6">
      <c r="A4" s="15" t="s">
        <v>1452</v>
      </c>
      <c r="B4" t="s">
        <v>1453</v>
      </c>
    </row>
    <row r="5" spans="1:6">
      <c r="A5" s="15" t="s">
        <v>1454</v>
      </c>
      <c r="B5" t="s">
        <v>50</v>
      </c>
    </row>
    <row r="6" spans="1:6">
      <c r="A6" s="15" t="s">
        <v>1455</v>
      </c>
      <c r="B6" t="s">
        <v>14</v>
      </c>
    </row>
    <row r="7" spans="1:6">
      <c r="A7" s="15" t="s">
        <v>1456</v>
      </c>
      <c r="B7">
        <v>78</v>
      </c>
    </row>
    <row r="8" spans="1:6">
      <c r="A8" s="36" t="s">
        <v>58</v>
      </c>
      <c r="B8" s="36" t="s">
        <v>59</v>
      </c>
      <c r="C8" s="37" t="s">
        <v>60</v>
      </c>
      <c r="D8" s="54" t="s">
        <v>61</v>
      </c>
      <c r="E8" s="37" t="s">
        <v>62</v>
      </c>
      <c r="F8" s="37" t="s">
        <v>63</v>
      </c>
    </row>
    <row r="9" spans="1:6" ht="16.5">
      <c r="A9" s="13">
        <v>1</v>
      </c>
      <c r="B9" s="13" t="s">
        <v>1457</v>
      </c>
      <c r="C9" s="50" t="s">
        <v>443</v>
      </c>
      <c r="D9" s="47" t="s">
        <v>443</v>
      </c>
      <c r="E9" s="51" t="s">
        <v>444</v>
      </c>
      <c r="F9" s="13" t="s">
        <v>444</v>
      </c>
    </row>
    <row r="10" spans="1:6" ht="16.5">
      <c r="A10" s="16">
        <v>2</v>
      </c>
      <c r="B10" s="16" t="s">
        <v>973</v>
      </c>
      <c r="C10" s="48" t="s">
        <v>436</v>
      </c>
      <c r="D10" s="49" t="s">
        <v>437</v>
      </c>
      <c r="E10" s="52" t="s">
        <v>437</v>
      </c>
      <c r="F10" s="16" t="s">
        <v>437</v>
      </c>
    </row>
    <row r="11" spans="1:6" ht="16.5">
      <c r="A11" s="13">
        <v>3</v>
      </c>
      <c r="B11" s="13" t="s">
        <v>1457</v>
      </c>
      <c r="C11" s="50" t="s">
        <v>354</v>
      </c>
      <c r="D11" s="47" t="s">
        <v>438</v>
      </c>
      <c r="E11" s="51" t="s">
        <v>438</v>
      </c>
      <c r="F11" s="51" t="s">
        <v>438</v>
      </c>
    </row>
    <row r="12" spans="1:6" ht="16.5">
      <c r="A12" s="16">
        <v>4</v>
      </c>
      <c r="B12" s="16" t="s">
        <v>1457</v>
      </c>
      <c r="C12" s="48" t="s">
        <v>344</v>
      </c>
      <c r="D12" s="47" t="s">
        <v>693</v>
      </c>
      <c r="E12" s="52" t="s">
        <v>72</v>
      </c>
      <c r="F12" s="16" t="s">
        <v>72</v>
      </c>
    </row>
    <row r="13" spans="1:6" ht="16.5">
      <c r="A13" s="13">
        <v>5</v>
      </c>
      <c r="B13" s="13" t="s">
        <v>1457</v>
      </c>
      <c r="C13" s="50" t="s">
        <v>439</v>
      </c>
      <c r="D13" s="47" t="s">
        <v>161</v>
      </c>
      <c r="E13" s="51" t="s">
        <v>161</v>
      </c>
      <c r="F13" s="13" t="s">
        <v>161</v>
      </c>
    </row>
    <row r="14" spans="1:6" ht="16.5">
      <c r="A14" s="16">
        <v>6</v>
      </c>
      <c r="B14" s="16" t="s">
        <v>1457</v>
      </c>
      <c r="C14" s="48" t="s">
        <v>440</v>
      </c>
      <c r="D14" s="47" t="s">
        <v>694</v>
      </c>
      <c r="E14" s="52" t="s">
        <v>441</v>
      </c>
      <c r="F14" s="52" t="s">
        <v>441</v>
      </c>
    </row>
    <row r="15" spans="1:6" ht="16.5">
      <c r="A15" s="13">
        <v>7</v>
      </c>
      <c r="B15" s="13" t="s">
        <v>1457</v>
      </c>
      <c r="C15" s="50" t="s">
        <v>79</v>
      </c>
      <c r="D15" s="47" t="str">
        <f>IFERROR(_xlfn.XLOOKUP(C15,index.html!C:C,index.html!D:D)," ")</f>
        <v>立即申请</v>
      </c>
      <c r="E15" s="51" t="s">
        <v>80</v>
      </c>
      <c r="F15" s="51" t="s">
        <v>80</v>
      </c>
    </row>
    <row r="16" spans="1:6" ht="16.5">
      <c r="A16" s="16">
        <v>8</v>
      </c>
      <c r="B16" s="16" t="s">
        <v>1458</v>
      </c>
      <c r="C16" s="48" t="s">
        <v>350</v>
      </c>
      <c r="D16" s="58" t="s">
        <v>333</v>
      </c>
      <c r="E16" s="52" t="s">
        <v>333</v>
      </c>
      <c r="F16" s="52" t="s">
        <v>333</v>
      </c>
    </row>
    <row r="17" spans="1:6" ht="16.5">
      <c r="A17" s="13">
        <v>9</v>
      </c>
      <c r="B17" s="13" t="s">
        <v>360</v>
      </c>
      <c r="C17" s="50" t="s">
        <v>1451</v>
      </c>
      <c r="D17" s="57" t="s">
        <v>1459</v>
      </c>
      <c r="E17" s="51" t="s">
        <v>1453</v>
      </c>
      <c r="F17" s="51" t="s">
        <v>1453</v>
      </c>
    </row>
    <row r="18" spans="1:6" ht="66.75">
      <c r="A18" s="16">
        <v>10</v>
      </c>
      <c r="B18" s="16" t="s">
        <v>360</v>
      </c>
      <c r="C18" s="48" t="s">
        <v>1460</v>
      </c>
      <c r="D18" s="60" t="s">
        <v>1461</v>
      </c>
      <c r="E18" s="53" t="s">
        <v>1462</v>
      </c>
      <c r="F18" s="47" t="s">
        <v>1461</v>
      </c>
    </row>
    <row r="19" spans="1:6" ht="16.5">
      <c r="A19" s="13">
        <v>11</v>
      </c>
      <c r="B19" s="13" t="s">
        <v>360</v>
      </c>
      <c r="C19" s="50" t="s">
        <v>1463</v>
      </c>
      <c r="D19" s="47" t="s">
        <v>702</v>
      </c>
      <c r="E19" s="51" t="s">
        <v>96</v>
      </c>
      <c r="F19" s="8" t="s">
        <v>702</v>
      </c>
    </row>
    <row r="20" spans="1:6" ht="16.5">
      <c r="A20" s="16">
        <v>12</v>
      </c>
      <c r="B20" s="16" t="s">
        <v>360</v>
      </c>
      <c r="C20" s="48" t="s">
        <v>1464</v>
      </c>
      <c r="D20" s="47" t="s">
        <v>1465</v>
      </c>
      <c r="E20" s="52" t="s">
        <v>1466</v>
      </c>
      <c r="F20" s="47" t="s">
        <v>1465</v>
      </c>
    </row>
    <row r="21" spans="1:6" ht="16.5">
      <c r="A21" s="13">
        <v>13</v>
      </c>
      <c r="B21" s="13" t="s">
        <v>1457</v>
      </c>
      <c r="C21" s="50" t="s">
        <v>1467</v>
      </c>
      <c r="D21" s="57" t="s">
        <v>1467</v>
      </c>
      <c r="E21" s="51" t="s">
        <v>1468</v>
      </c>
      <c r="F21" s="51" t="s">
        <v>1469</v>
      </c>
    </row>
    <row r="22" spans="1:6" ht="16.5">
      <c r="A22" s="16">
        <v>14</v>
      </c>
      <c r="B22" s="16" t="s">
        <v>973</v>
      </c>
      <c r="C22" s="48" t="s">
        <v>1470</v>
      </c>
      <c r="D22" s="47" t="s">
        <v>1471</v>
      </c>
      <c r="E22" s="52" t="s">
        <v>1471</v>
      </c>
      <c r="F22" s="16" t="s">
        <v>1471</v>
      </c>
    </row>
    <row r="23" spans="1:6" ht="16.5">
      <c r="A23" s="13">
        <v>15</v>
      </c>
      <c r="B23" s="13" t="s">
        <v>1472</v>
      </c>
      <c r="C23" s="50" t="s">
        <v>1473</v>
      </c>
      <c r="D23" s="59" t="s">
        <v>1474</v>
      </c>
      <c r="E23" s="51" t="s">
        <v>1474</v>
      </c>
      <c r="F23" s="13" t="s">
        <v>1474</v>
      </c>
    </row>
    <row r="24" spans="1:6" ht="16.5">
      <c r="A24" s="16">
        <v>16</v>
      </c>
      <c r="B24" s="16" t="s">
        <v>1472</v>
      </c>
      <c r="C24" s="48" t="s">
        <v>1475</v>
      </c>
      <c r="D24" s="58" t="s">
        <v>1476</v>
      </c>
      <c r="E24" s="52" t="s">
        <v>1477</v>
      </c>
      <c r="F24" s="47" t="s">
        <v>1476</v>
      </c>
    </row>
    <row r="25" spans="1:6" ht="16.5">
      <c r="A25" s="13">
        <v>17</v>
      </c>
      <c r="B25" s="13" t="s">
        <v>1458</v>
      </c>
      <c r="C25" s="50" t="s">
        <v>1478</v>
      </c>
      <c r="D25" s="62" t="s">
        <v>1479</v>
      </c>
      <c r="E25" s="51" t="s">
        <v>1479</v>
      </c>
      <c r="F25" s="61" t="s">
        <v>1479</v>
      </c>
    </row>
    <row r="26" spans="1:6" ht="16.5">
      <c r="A26" s="16">
        <v>18</v>
      </c>
      <c r="B26" s="16" t="s">
        <v>147</v>
      </c>
      <c r="C26" s="48" t="s">
        <v>1480</v>
      </c>
      <c r="D26" s="63" t="s">
        <v>1481</v>
      </c>
      <c r="E26" s="53" t="s">
        <v>1482</v>
      </c>
      <c r="F26" s="49" t="s">
        <v>1483</v>
      </c>
    </row>
    <row r="27" spans="1:6" ht="51">
      <c r="A27" s="13">
        <v>19</v>
      </c>
      <c r="B27" s="13" t="s">
        <v>147</v>
      </c>
      <c r="C27" s="50" t="s">
        <v>1484</v>
      </c>
      <c r="D27" s="62" t="s">
        <v>1485</v>
      </c>
      <c r="E27" s="61" t="s">
        <v>1486</v>
      </c>
      <c r="F27" s="51" t="s">
        <v>1485</v>
      </c>
    </row>
    <row r="28" spans="1:6" ht="16.5">
      <c r="A28" s="16">
        <v>20</v>
      </c>
      <c r="B28" s="16" t="s">
        <v>147</v>
      </c>
      <c r="C28" s="48" t="s">
        <v>1487</v>
      </c>
      <c r="D28" s="49" t="s">
        <v>1488</v>
      </c>
      <c r="E28" s="49" t="s">
        <v>1488</v>
      </c>
      <c r="F28" s="52" t="s">
        <v>1488</v>
      </c>
    </row>
    <row r="29" spans="1:6" ht="51">
      <c r="A29" s="13">
        <v>21</v>
      </c>
      <c r="B29" s="13" t="s">
        <v>147</v>
      </c>
      <c r="C29" s="50" t="s">
        <v>1489</v>
      </c>
      <c r="D29" s="57" t="s">
        <v>1490</v>
      </c>
      <c r="E29" s="57" t="s">
        <v>1490</v>
      </c>
      <c r="F29" s="51" t="s">
        <v>1490</v>
      </c>
    </row>
    <row r="30" spans="1:6" ht="16.5">
      <c r="A30" s="16">
        <v>22</v>
      </c>
      <c r="B30" s="16" t="s">
        <v>147</v>
      </c>
      <c r="C30" s="48" t="s">
        <v>1491</v>
      </c>
      <c r="D30" s="49" t="s">
        <v>1492</v>
      </c>
      <c r="E30" s="49" t="s">
        <v>1492</v>
      </c>
      <c r="F30" s="52" t="s">
        <v>1492</v>
      </c>
    </row>
    <row r="31" spans="1:6" ht="51">
      <c r="A31" s="13">
        <v>23</v>
      </c>
      <c r="B31" s="13" t="s">
        <v>147</v>
      </c>
      <c r="C31" s="50" t="s">
        <v>1493</v>
      </c>
      <c r="D31" s="62" t="s">
        <v>1494</v>
      </c>
      <c r="E31" s="62" t="s">
        <v>1494</v>
      </c>
      <c r="F31" s="61" t="s">
        <v>1494</v>
      </c>
    </row>
    <row r="32" spans="1:6" ht="16.5">
      <c r="A32" s="16">
        <v>24</v>
      </c>
      <c r="B32" s="16" t="s">
        <v>1458</v>
      </c>
      <c r="C32" s="48" t="s">
        <v>1495</v>
      </c>
      <c r="D32" s="49" t="s">
        <v>191</v>
      </c>
      <c r="E32" s="49" t="s">
        <v>191</v>
      </c>
      <c r="F32" s="49" t="s">
        <v>191</v>
      </c>
    </row>
    <row r="33" spans="1:6" ht="16.5">
      <c r="A33" s="13">
        <v>25</v>
      </c>
      <c r="B33" s="13" t="s">
        <v>1458</v>
      </c>
      <c r="C33" s="50" t="s">
        <v>1496</v>
      </c>
      <c r="D33" s="57" t="s">
        <v>1497</v>
      </c>
      <c r="E33" s="57" t="s">
        <v>1498</v>
      </c>
      <c r="F33" s="57" t="s">
        <v>1497</v>
      </c>
    </row>
    <row r="34" spans="1:6" ht="16.5">
      <c r="A34" s="16">
        <v>26</v>
      </c>
      <c r="B34" s="16" t="s">
        <v>1457</v>
      </c>
      <c r="C34" s="66" t="s">
        <v>1499</v>
      </c>
      <c r="D34" s="49" t="s">
        <v>191</v>
      </c>
      <c r="E34" s="49" t="s">
        <v>191</v>
      </c>
      <c r="F34" s="49" t="s">
        <v>191</v>
      </c>
    </row>
    <row r="35" spans="1:6" ht="67.5">
      <c r="A35" s="13">
        <v>27</v>
      </c>
      <c r="B35" s="50" t="s">
        <v>1457</v>
      </c>
      <c r="C35" s="69" t="s">
        <v>1500</v>
      </c>
      <c r="D35" s="57" t="s">
        <v>1501</v>
      </c>
      <c r="E35" s="57" t="s">
        <v>1502</v>
      </c>
      <c r="F35" s="57" t="s">
        <v>1501</v>
      </c>
    </row>
    <row r="36" spans="1:6" ht="16.5">
      <c r="A36" s="16">
        <v>28</v>
      </c>
      <c r="B36" s="48" t="s">
        <v>147</v>
      </c>
      <c r="C36" s="49" t="s">
        <v>1503</v>
      </c>
      <c r="D36" s="68" t="s">
        <v>1504</v>
      </c>
      <c r="E36" s="68" t="s">
        <v>1504</v>
      </c>
      <c r="F36" s="68" t="s">
        <v>1504</v>
      </c>
    </row>
    <row r="37" spans="1:6" ht="65.25" customHeight="1">
      <c r="A37" s="13">
        <v>29</v>
      </c>
      <c r="B37" s="50" t="s">
        <v>1505</v>
      </c>
      <c r="C37" s="57" t="s">
        <v>1506</v>
      </c>
      <c r="D37" s="57" t="s">
        <v>1507</v>
      </c>
      <c r="E37" s="57" t="s">
        <v>1508</v>
      </c>
      <c r="F37" s="57" t="s">
        <v>1507</v>
      </c>
    </row>
    <row r="38" spans="1:6" ht="16.5">
      <c r="A38" s="16">
        <v>30</v>
      </c>
      <c r="B38" s="16" t="s">
        <v>1505</v>
      </c>
      <c r="C38" s="67" t="s">
        <v>1509</v>
      </c>
      <c r="D38" s="68" t="s">
        <v>1510</v>
      </c>
      <c r="E38" s="68" t="s">
        <v>1510</v>
      </c>
      <c r="F38" s="68" t="s">
        <v>1510</v>
      </c>
    </row>
    <row r="39" spans="1:6" ht="16.5">
      <c r="A39" s="13">
        <v>31</v>
      </c>
      <c r="B39" s="13" t="s">
        <v>1505</v>
      </c>
      <c r="C39" s="50" t="s">
        <v>1511</v>
      </c>
      <c r="D39" s="58" t="s">
        <v>1512</v>
      </c>
      <c r="E39" s="62" t="s">
        <v>1513</v>
      </c>
      <c r="F39" s="58" t="s">
        <v>1512</v>
      </c>
    </row>
    <row r="40" spans="1:6" ht="16.5">
      <c r="A40" s="16">
        <v>32</v>
      </c>
      <c r="B40" s="16" t="s">
        <v>1457</v>
      </c>
      <c r="C40" s="48" t="s">
        <v>701</v>
      </c>
      <c r="D40" s="47" t="s">
        <v>702</v>
      </c>
      <c r="E40" s="49" t="s">
        <v>96</v>
      </c>
      <c r="F40" s="47" t="s">
        <v>702</v>
      </c>
    </row>
    <row r="41" spans="1:6" ht="16.5">
      <c r="A41" s="13">
        <v>33</v>
      </c>
      <c r="B41" s="13" t="s">
        <v>1514</v>
      </c>
      <c r="C41" s="50" t="s">
        <v>1515</v>
      </c>
      <c r="D41" s="65" t="s">
        <v>1516</v>
      </c>
      <c r="E41" s="65" t="s">
        <v>1516</v>
      </c>
      <c r="F41" s="65" t="s">
        <v>1516</v>
      </c>
    </row>
    <row r="42" spans="1:6" ht="16.5">
      <c r="A42" s="16">
        <v>34</v>
      </c>
      <c r="B42" s="16" t="s">
        <v>1514</v>
      </c>
      <c r="C42" s="48" t="s">
        <v>1517</v>
      </c>
      <c r="D42" s="58" t="s">
        <v>1518</v>
      </c>
      <c r="E42" s="49" t="s">
        <v>1519</v>
      </c>
      <c r="F42" s="47" t="s">
        <v>1518</v>
      </c>
    </row>
    <row r="43" spans="1:6" ht="16.5">
      <c r="A43" s="13">
        <v>35</v>
      </c>
      <c r="B43" s="13" t="s">
        <v>1457</v>
      </c>
      <c r="C43" s="50" t="s">
        <v>1520</v>
      </c>
      <c r="D43" s="62" t="s">
        <v>1521</v>
      </c>
      <c r="E43" s="70" t="s">
        <v>1521</v>
      </c>
      <c r="F43" s="70" t="s">
        <v>1521</v>
      </c>
    </row>
    <row r="44" spans="1:6" ht="16.5">
      <c r="A44" s="16">
        <v>36</v>
      </c>
      <c r="B44" s="16" t="s">
        <v>1457</v>
      </c>
      <c r="C44" s="48" t="s">
        <v>1522</v>
      </c>
      <c r="D44" s="63" t="s">
        <v>1044</v>
      </c>
      <c r="E44" s="63" t="s">
        <v>1044</v>
      </c>
      <c r="F44" s="63" t="s">
        <v>1044</v>
      </c>
    </row>
    <row r="45" spans="1:6" ht="16.5">
      <c r="A45" s="13">
        <v>37</v>
      </c>
      <c r="B45" s="13" t="s">
        <v>1514</v>
      </c>
      <c r="C45" s="50" t="s">
        <v>1523</v>
      </c>
      <c r="D45" s="47" t="s">
        <v>1510</v>
      </c>
      <c r="E45" s="57" t="s">
        <v>1510</v>
      </c>
      <c r="F45" s="47" t="s">
        <v>1510</v>
      </c>
    </row>
    <row r="46" spans="1:6" ht="16.5">
      <c r="A46" s="16">
        <v>38</v>
      </c>
      <c r="B46" s="16" t="s">
        <v>1514</v>
      </c>
      <c r="C46" s="48" t="s">
        <v>1524</v>
      </c>
      <c r="D46" s="63" t="s">
        <v>1525</v>
      </c>
      <c r="E46" s="49" t="s">
        <v>1525</v>
      </c>
      <c r="F46" s="49" t="s">
        <v>1525</v>
      </c>
    </row>
    <row r="47" spans="1:6" ht="16.5">
      <c r="A47" s="13">
        <v>39</v>
      </c>
      <c r="B47" s="13" t="s">
        <v>1457</v>
      </c>
      <c r="C47" s="50" t="s">
        <v>1526</v>
      </c>
      <c r="D47" s="57" t="s">
        <v>1527</v>
      </c>
      <c r="E47" s="64" t="s">
        <v>1527</v>
      </c>
      <c r="F47" s="64" t="s">
        <v>1527</v>
      </c>
    </row>
    <row r="48" spans="1:6" ht="16.5">
      <c r="A48" s="16">
        <v>40</v>
      </c>
      <c r="B48" s="16" t="s">
        <v>1457</v>
      </c>
      <c r="C48" s="48" t="s">
        <v>1528</v>
      </c>
      <c r="D48" s="49" t="s">
        <v>1529</v>
      </c>
      <c r="E48" s="52" t="s">
        <v>1529</v>
      </c>
      <c r="F48" s="52" t="s">
        <v>1529</v>
      </c>
    </row>
    <row r="49" spans="1:6" ht="16.5">
      <c r="A49" s="13">
        <v>41</v>
      </c>
      <c r="B49" s="13" t="s">
        <v>1514</v>
      </c>
      <c r="C49" s="50" t="s">
        <v>1530</v>
      </c>
      <c r="D49" s="57" t="s">
        <v>1531</v>
      </c>
      <c r="E49" s="51" t="s">
        <v>1531</v>
      </c>
      <c r="F49" s="51" t="s">
        <v>1531</v>
      </c>
    </row>
    <row r="50" spans="1:6" ht="16.5">
      <c r="A50" s="16">
        <v>42</v>
      </c>
      <c r="B50" s="16" t="s">
        <v>1457</v>
      </c>
      <c r="C50" s="48" t="s">
        <v>1532</v>
      </c>
      <c r="D50" s="49" t="s">
        <v>1533</v>
      </c>
      <c r="E50" s="52" t="s">
        <v>1533</v>
      </c>
      <c r="F50" s="52" t="s">
        <v>1533</v>
      </c>
    </row>
    <row r="51" spans="1:6" ht="16.5">
      <c r="A51" s="13">
        <v>43</v>
      </c>
      <c r="B51" s="13" t="s">
        <v>1457</v>
      </c>
      <c r="C51" s="50" t="s">
        <v>703</v>
      </c>
      <c r="D51" s="47" t="s">
        <v>704</v>
      </c>
      <c r="E51" s="51" t="s">
        <v>705</v>
      </c>
      <c r="F51" s="47" t="s">
        <v>704</v>
      </c>
    </row>
    <row r="52" spans="1:6" ht="16.5">
      <c r="A52" s="16">
        <v>44</v>
      </c>
      <c r="B52" s="16" t="s">
        <v>1514</v>
      </c>
      <c r="C52" s="48" t="s">
        <v>1534</v>
      </c>
      <c r="D52" s="63" t="s">
        <v>1535</v>
      </c>
      <c r="E52" s="52" t="s">
        <v>1535</v>
      </c>
      <c r="F52" s="52" t="s">
        <v>1535</v>
      </c>
    </row>
    <row r="53" spans="1:6" ht="16.5">
      <c r="A53" s="13">
        <v>45</v>
      </c>
      <c r="B53" s="13" t="s">
        <v>1457</v>
      </c>
      <c r="C53" s="50" t="s">
        <v>1536</v>
      </c>
      <c r="D53" s="62" t="s">
        <v>1537</v>
      </c>
      <c r="E53" s="51" t="s">
        <v>1537</v>
      </c>
      <c r="F53" s="51" t="s">
        <v>1537</v>
      </c>
    </row>
    <row r="54" spans="1:6" ht="16.5">
      <c r="A54" s="16">
        <v>46</v>
      </c>
      <c r="B54" s="16" t="s">
        <v>1457</v>
      </c>
      <c r="C54" s="48" t="s">
        <v>1538</v>
      </c>
      <c r="D54" s="49" t="s">
        <v>1539</v>
      </c>
      <c r="E54" s="52" t="s">
        <v>1540</v>
      </c>
      <c r="F54" s="68" t="s">
        <v>1539</v>
      </c>
    </row>
    <row r="55" spans="1:6" ht="16.5">
      <c r="A55" s="13">
        <v>47</v>
      </c>
      <c r="B55" s="13" t="s">
        <v>1514</v>
      </c>
      <c r="C55" s="50" t="s">
        <v>1541</v>
      </c>
      <c r="D55" s="57" t="s">
        <v>1542</v>
      </c>
      <c r="E55" s="51" t="s">
        <v>1542</v>
      </c>
      <c r="F55" s="51" t="s">
        <v>1542</v>
      </c>
    </row>
    <row r="56" spans="1:6" ht="16.5">
      <c r="A56" s="16">
        <v>48</v>
      </c>
      <c r="B56" s="16" t="s">
        <v>1457</v>
      </c>
      <c r="C56" s="48" t="s">
        <v>1543</v>
      </c>
      <c r="D56" s="63" t="s">
        <v>1544</v>
      </c>
      <c r="E56" s="52" t="s">
        <v>1544</v>
      </c>
      <c r="F56" s="52" t="s">
        <v>1544</v>
      </c>
    </row>
    <row r="57" spans="1:6" ht="16.5">
      <c r="A57" s="13">
        <v>49</v>
      </c>
      <c r="B57" s="13" t="s">
        <v>1457</v>
      </c>
      <c r="C57" s="50" t="s">
        <v>1545</v>
      </c>
      <c r="D57" s="57" t="s">
        <v>1546</v>
      </c>
      <c r="E57" s="51" t="s">
        <v>1546</v>
      </c>
      <c r="F57" s="51" t="s">
        <v>1546</v>
      </c>
    </row>
    <row r="58" spans="1:6" ht="16.5">
      <c r="A58" s="16">
        <v>50</v>
      </c>
      <c r="B58" s="16" t="s">
        <v>59</v>
      </c>
      <c r="C58" s="48" t="s">
        <v>1547</v>
      </c>
      <c r="D58" s="58" t="s">
        <v>1548</v>
      </c>
      <c r="E58" s="52" t="s">
        <v>1549</v>
      </c>
      <c r="F58" s="47" t="s">
        <v>1548</v>
      </c>
    </row>
    <row r="59" spans="1:6" ht="16.5">
      <c r="A59" s="13">
        <v>51</v>
      </c>
      <c r="B59" s="13" t="s">
        <v>360</v>
      </c>
      <c r="C59" s="50" t="s">
        <v>606</v>
      </c>
      <c r="D59" s="71" t="s">
        <v>1550</v>
      </c>
      <c r="E59" s="51" t="s">
        <v>607</v>
      </c>
      <c r="F59" s="51" t="s">
        <v>607</v>
      </c>
    </row>
    <row r="60" spans="1:6" ht="66.75">
      <c r="A60" s="16">
        <v>52</v>
      </c>
      <c r="B60" s="16" t="s">
        <v>1551</v>
      </c>
      <c r="C60" s="48" t="s">
        <v>1552</v>
      </c>
      <c r="D60" s="72" t="s">
        <v>1553</v>
      </c>
      <c r="E60" s="52" t="s">
        <v>1554</v>
      </c>
      <c r="F60" s="49" t="s">
        <v>1553</v>
      </c>
    </row>
    <row r="61" spans="1:6" ht="51">
      <c r="A61" s="13">
        <v>53</v>
      </c>
      <c r="B61" s="13" t="s">
        <v>1551</v>
      </c>
      <c r="C61" s="50" t="s">
        <v>1555</v>
      </c>
      <c r="D61" s="62" t="s">
        <v>1556</v>
      </c>
      <c r="E61" s="61" t="s">
        <v>1557</v>
      </c>
      <c r="F61" s="62" t="s">
        <v>1556</v>
      </c>
    </row>
    <row r="62" spans="1:6" ht="51">
      <c r="A62" s="16">
        <v>54</v>
      </c>
      <c r="B62" s="16" t="s">
        <v>1551</v>
      </c>
      <c r="C62" s="48" t="s">
        <v>1558</v>
      </c>
      <c r="D62" s="49" t="s">
        <v>1559</v>
      </c>
      <c r="E62" s="49" t="s">
        <v>1560</v>
      </c>
      <c r="F62" s="49" t="s">
        <v>1559</v>
      </c>
    </row>
    <row r="63" spans="1:6" ht="33">
      <c r="A63" s="13">
        <v>55</v>
      </c>
      <c r="B63" s="13" t="s">
        <v>1551</v>
      </c>
      <c r="C63" s="50" t="s">
        <v>1561</v>
      </c>
      <c r="D63" s="57" t="s">
        <v>1562</v>
      </c>
      <c r="E63" s="57" t="s">
        <v>1563</v>
      </c>
      <c r="F63" s="57" t="s">
        <v>1562</v>
      </c>
    </row>
    <row r="64" spans="1:6" ht="16.5">
      <c r="A64" s="16">
        <v>56</v>
      </c>
      <c r="B64" s="16" t="s">
        <v>1551</v>
      </c>
      <c r="C64" s="48" t="s">
        <v>1564</v>
      </c>
      <c r="D64" s="49" t="s">
        <v>1565</v>
      </c>
      <c r="E64" s="49" t="s">
        <v>1565</v>
      </c>
      <c r="F64" s="49" t="s">
        <v>1565</v>
      </c>
    </row>
    <row r="65" spans="1:6" ht="51">
      <c r="A65" s="13">
        <v>57</v>
      </c>
      <c r="B65" s="13" t="s">
        <v>1551</v>
      </c>
      <c r="C65" s="73" t="s">
        <v>1566</v>
      </c>
      <c r="D65" s="62" t="s">
        <v>1567</v>
      </c>
      <c r="E65" s="62" t="s">
        <v>1567</v>
      </c>
      <c r="F65" s="62" t="s">
        <v>1567</v>
      </c>
    </row>
    <row r="66" spans="1:6" ht="51">
      <c r="A66" s="16">
        <v>58</v>
      </c>
      <c r="B66" s="48" t="s">
        <v>1551</v>
      </c>
      <c r="C66" s="49" t="s">
        <v>1568</v>
      </c>
      <c r="D66" s="63" t="s">
        <v>1569</v>
      </c>
      <c r="E66" s="49" t="s">
        <v>1570</v>
      </c>
      <c r="F66" s="49" t="s">
        <v>1569</v>
      </c>
    </row>
    <row r="67" spans="1:6" ht="16.5">
      <c r="A67" s="13">
        <v>59</v>
      </c>
      <c r="B67" s="50" t="s">
        <v>147</v>
      </c>
      <c r="C67" s="69" t="s">
        <v>1571</v>
      </c>
      <c r="D67" s="57" t="s">
        <v>1572</v>
      </c>
      <c r="E67" s="76" t="s">
        <v>1572</v>
      </c>
      <c r="F67" s="57" t="s">
        <v>1572</v>
      </c>
    </row>
    <row r="68" spans="1:6" ht="16.5">
      <c r="A68" s="16">
        <v>60</v>
      </c>
      <c r="B68" s="48" t="s">
        <v>1457</v>
      </c>
      <c r="C68" s="75" t="s">
        <v>1573</v>
      </c>
      <c r="D68" s="49" t="s">
        <v>1574</v>
      </c>
      <c r="E68" s="77" t="s">
        <v>1574</v>
      </c>
      <c r="F68" s="49" t="s">
        <v>1574</v>
      </c>
    </row>
    <row r="69" spans="1:6" ht="16.5">
      <c r="A69" s="13">
        <v>61</v>
      </c>
      <c r="B69" s="13" t="s">
        <v>1009</v>
      </c>
      <c r="C69" s="74" t="s">
        <v>1575</v>
      </c>
      <c r="D69" s="57" t="s">
        <v>1576</v>
      </c>
      <c r="E69" s="64" t="s">
        <v>1577</v>
      </c>
      <c r="F69" s="64" t="s">
        <v>1577</v>
      </c>
    </row>
    <row r="70" spans="1:6" ht="66.75">
      <c r="A70" s="16">
        <v>62</v>
      </c>
      <c r="B70" s="16" t="s">
        <v>1009</v>
      </c>
      <c r="C70" s="48" t="s">
        <v>1578</v>
      </c>
      <c r="D70" s="63" t="s">
        <v>1579</v>
      </c>
      <c r="E70" s="52" t="s">
        <v>1580</v>
      </c>
      <c r="F70" s="49" t="s">
        <v>1579</v>
      </c>
    </row>
    <row r="71" spans="1:6" ht="16.5">
      <c r="A71" s="13">
        <v>63</v>
      </c>
      <c r="B71" s="13" t="s">
        <v>1009</v>
      </c>
      <c r="C71" s="50" t="s">
        <v>1581</v>
      </c>
      <c r="D71" s="62" t="s">
        <v>1582</v>
      </c>
      <c r="E71" s="61" t="s">
        <v>1582</v>
      </c>
      <c r="F71" s="61" t="s">
        <v>1582</v>
      </c>
    </row>
    <row r="72" spans="1:6" ht="66.75">
      <c r="A72" s="16">
        <v>64</v>
      </c>
      <c r="B72" s="16" t="s">
        <v>1009</v>
      </c>
      <c r="C72" s="48" t="s">
        <v>1583</v>
      </c>
      <c r="D72" s="49" t="s">
        <v>1584</v>
      </c>
      <c r="E72" s="77" t="s">
        <v>1585</v>
      </c>
      <c r="F72" s="49" t="s">
        <v>1584</v>
      </c>
    </row>
    <row r="73" spans="1:6" ht="16.5">
      <c r="A73" s="13">
        <v>65</v>
      </c>
      <c r="B73" s="13" t="s">
        <v>1009</v>
      </c>
      <c r="C73" s="73" t="s">
        <v>1586</v>
      </c>
      <c r="D73" s="62" t="s">
        <v>1587</v>
      </c>
      <c r="E73" s="70" t="s">
        <v>1587</v>
      </c>
      <c r="F73" s="70" t="s">
        <v>1587</v>
      </c>
    </row>
    <row r="74" spans="1:6" ht="51">
      <c r="A74" s="16">
        <v>66</v>
      </c>
      <c r="B74" s="48" t="s">
        <v>1009</v>
      </c>
      <c r="C74" s="49" t="s">
        <v>1588</v>
      </c>
      <c r="D74" s="49" t="s">
        <v>1589</v>
      </c>
      <c r="E74" s="49" t="s">
        <v>1590</v>
      </c>
      <c r="F74" s="49" t="s">
        <v>1589</v>
      </c>
    </row>
    <row r="75" spans="1:6" ht="16.5">
      <c r="A75" s="13">
        <v>67</v>
      </c>
      <c r="B75" s="50" t="s">
        <v>1009</v>
      </c>
      <c r="C75" s="57" t="s">
        <v>1591</v>
      </c>
      <c r="D75" s="57" t="s">
        <v>1592</v>
      </c>
      <c r="E75" s="57" t="s">
        <v>1592</v>
      </c>
      <c r="F75" s="57" t="s">
        <v>1592</v>
      </c>
    </row>
    <row r="76" spans="1:6" ht="67.5">
      <c r="A76" s="16">
        <v>68</v>
      </c>
      <c r="B76" s="48" t="s">
        <v>1009</v>
      </c>
      <c r="C76" s="49" t="s">
        <v>1593</v>
      </c>
      <c r="D76" s="49" t="s">
        <v>1594</v>
      </c>
      <c r="E76" s="49" t="s">
        <v>1594</v>
      </c>
      <c r="F76" s="49" t="s">
        <v>1594</v>
      </c>
    </row>
    <row r="77" spans="1:6" ht="16.5">
      <c r="A77" s="13">
        <v>69</v>
      </c>
      <c r="B77" s="50" t="s">
        <v>147</v>
      </c>
      <c r="C77" s="57" t="s">
        <v>1595</v>
      </c>
      <c r="D77" s="57" t="s">
        <v>1596</v>
      </c>
      <c r="E77" s="57" t="s">
        <v>1597</v>
      </c>
      <c r="F77" s="57" t="s">
        <v>1597</v>
      </c>
    </row>
    <row r="78" spans="1:6" ht="16.5">
      <c r="A78" s="16">
        <v>70</v>
      </c>
      <c r="B78" s="48" t="s">
        <v>147</v>
      </c>
      <c r="C78" s="49" t="s">
        <v>961</v>
      </c>
      <c r="D78" s="47" t="s">
        <v>1598</v>
      </c>
      <c r="E78" s="49" t="s">
        <v>962</v>
      </c>
      <c r="F78" s="47" t="s">
        <v>1598</v>
      </c>
    </row>
    <row r="79" spans="1:6" ht="33">
      <c r="A79" s="13">
        <v>71</v>
      </c>
      <c r="B79" s="50" t="s">
        <v>147</v>
      </c>
      <c r="C79" s="57" t="s">
        <v>1599</v>
      </c>
      <c r="D79" s="57" t="s">
        <v>1600</v>
      </c>
      <c r="E79" s="57" t="s">
        <v>1601</v>
      </c>
      <c r="F79" s="57" t="s">
        <v>1600</v>
      </c>
    </row>
    <row r="80" spans="1:6" ht="16.5">
      <c r="A80" s="16">
        <v>72</v>
      </c>
      <c r="B80" s="48" t="s">
        <v>1457</v>
      </c>
      <c r="C80" s="49" t="s">
        <v>601</v>
      </c>
      <c r="D80" s="49" t="s">
        <v>602</v>
      </c>
      <c r="E80" s="49" t="s">
        <v>602</v>
      </c>
      <c r="F80" s="49" t="s">
        <v>602</v>
      </c>
    </row>
    <row r="81" spans="1:6" ht="16.5">
      <c r="A81" s="13">
        <v>73</v>
      </c>
      <c r="B81" s="50" t="s">
        <v>147</v>
      </c>
      <c r="C81" s="57" t="s">
        <v>1602</v>
      </c>
      <c r="D81" s="62" t="s">
        <v>1603</v>
      </c>
      <c r="E81" s="62" t="s">
        <v>1603</v>
      </c>
      <c r="F81" s="62" t="s">
        <v>1603</v>
      </c>
    </row>
    <row r="82" spans="1:6" ht="33">
      <c r="A82" s="16">
        <v>74</v>
      </c>
      <c r="B82" s="48" t="s">
        <v>147</v>
      </c>
      <c r="C82" s="75" t="s">
        <v>1604</v>
      </c>
      <c r="D82" s="49" t="s">
        <v>1605</v>
      </c>
      <c r="E82" s="49" t="s">
        <v>1605</v>
      </c>
      <c r="F82" s="49" t="s">
        <v>1605</v>
      </c>
    </row>
    <row r="83" spans="1:6" ht="16.5">
      <c r="A83" s="13">
        <v>75</v>
      </c>
      <c r="B83" s="50" t="s">
        <v>1457</v>
      </c>
      <c r="C83" s="69" t="s">
        <v>1606</v>
      </c>
      <c r="D83" s="57" t="s">
        <v>1607</v>
      </c>
      <c r="E83" s="57" t="s">
        <v>1607</v>
      </c>
      <c r="F83" s="57" t="s">
        <v>1607</v>
      </c>
    </row>
    <row r="84" spans="1:6" ht="33">
      <c r="A84" s="16">
        <v>76</v>
      </c>
      <c r="B84" s="48" t="s">
        <v>147</v>
      </c>
      <c r="C84" s="75" t="s">
        <v>1608</v>
      </c>
      <c r="D84" s="49" t="s">
        <v>1609</v>
      </c>
      <c r="E84" s="49" t="s">
        <v>1610</v>
      </c>
      <c r="F84" s="49" t="s">
        <v>1609</v>
      </c>
    </row>
    <row r="85" spans="1:6" ht="16.5">
      <c r="A85" s="13">
        <v>77</v>
      </c>
      <c r="B85" s="13" t="s">
        <v>1457</v>
      </c>
      <c r="C85" s="74" t="s">
        <v>1611</v>
      </c>
      <c r="D85" s="57" t="s">
        <v>1612</v>
      </c>
      <c r="E85" s="57" t="s">
        <v>1612</v>
      </c>
      <c r="F85" s="57" t="s">
        <v>1612</v>
      </c>
    </row>
    <row r="86" spans="1:6" ht="409.6">
      <c r="A86" s="16">
        <v>78</v>
      </c>
      <c r="B86" s="16" t="s">
        <v>1505</v>
      </c>
      <c r="C86" s="48" t="s">
        <v>1613</v>
      </c>
      <c r="D86" s="49" t="s">
        <v>1614</v>
      </c>
      <c r="E86" s="49" t="s">
        <v>1615</v>
      </c>
      <c r="F86" s="49" t="s">
        <v>1614</v>
      </c>
    </row>
  </sheetData>
  <hyperlinks>
    <hyperlink ref="B2" r:id="rId1" xr:uid="{5BA626B1-A4D7-471C-BE92-4717CC77B927}"/>
  </hyperlinks>
  <pageMargins left="0.75" right="0.75" top="1" bottom="1" header="0.5" footer="0.5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7"/>
  <sheetViews>
    <sheetView workbookViewId="0">
      <selection activeCell="D9" sqref="D9"/>
    </sheetView>
  </sheetViews>
  <sheetFormatPr defaultRowHeight="15"/>
  <cols>
    <col min="1" max="1" width="17.28515625" bestFit="1" customWidth="1"/>
    <col min="2" max="2" width="49.85546875" bestFit="1" customWidth="1"/>
    <col min="3" max="3" width="45" customWidth="1"/>
    <col min="4" max="4" width="20" customWidth="1"/>
    <col min="5" max="5" width="45" customWidth="1"/>
    <col min="6" max="6" width="20" customWidth="1"/>
  </cols>
  <sheetData>
    <row r="1" spans="1:6">
      <c r="A1" s="15" t="s">
        <v>10</v>
      </c>
      <c r="B1" t="s">
        <v>11</v>
      </c>
    </row>
    <row r="2" spans="1:6">
      <c r="A2" s="15" t="s">
        <v>1449</v>
      </c>
      <c r="B2" s="33" t="s">
        <v>39</v>
      </c>
    </row>
    <row r="3" spans="1:6">
      <c r="A3" s="15" t="s">
        <v>1450</v>
      </c>
      <c r="B3" t="s">
        <v>1616</v>
      </c>
    </row>
    <row r="4" spans="1:6">
      <c r="A4" s="15" t="s">
        <v>1452</v>
      </c>
      <c r="B4" t="s">
        <v>1617</v>
      </c>
    </row>
    <row r="5" spans="1:6">
      <c r="A5" s="15" t="s">
        <v>1454</v>
      </c>
      <c r="B5" t="s">
        <v>50</v>
      </c>
    </row>
    <row r="6" spans="1:6">
      <c r="A6" s="15" t="s">
        <v>1455</v>
      </c>
      <c r="B6" t="s">
        <v>14</v>
      </c>
    </row>
    <row r="7" spans="1:6">
      <c r="A7" s="15" t="s">
        <v>1456</v>
      </c>
      <c r="B7">
        <v>49</v>
      </c>
    </row>
    <row r="8" spans="1:6">
      <c r="A8" s="36" t="s">
        <v>58</v>
      </c>
      <c r="B8" s="36" t="s">
        <v>59</v>
      </c>
      <c r="C8" s="37" t="s">
        <v>60</v>
      </c>
      <c r="D8" s="37" t="s">
        <v>61</v>
      </c>
      <c r="E8" s="37" t="s">
        <v>62</v>
      </c>
      <c r="F8" s="37" t="s">
        <v>63</v>
      </c>
    </row>
    <row r="9" spans="1:6" ht="16.5">
      <c r="A9" s="13">
        <v>1</v>
      </c>
      <c r="B9" s="13" t="s">
        <v>973</v>
      </c>
      <c r="C9" s="13" t="s">
        <v>436</v>
      </c>
      <c r="D9" s="8" t="str">
        <f>IFERROR(_xlfn.XLOOKUP(C9,index.html!C:C,index.html!D:D)," ")</f>
        <v xml:space="preserve"> </v>
      </c>
      <c r="E9" s="13" t="s">
        <v>437</v>
      </c>
      <c r="F9" s="13"/>
    </row>
    <row r="10" spans="1:6" ht="16.5">
      <c r="A10" s="16">
        <v>2</v>
      </c>
      <c r="B10" s="16" t="s">
        <v>1457</v>
      </c>
      <c r="C10" s="16" t="s">
        <v>354</v>
      </c>
      <c r="D10" s="8" t="str">
        <f>IFERROR(_xlfn.XLOOKUP(C10,index.html!C:C,index.html!D:D)," ")</f>
        <v xml:space="preserve"> </v>
      </c>
      <c r="E10" s="16" t="s">
        <v>438</v>
      </c>
      <c r="F10" s="16"/>
    </row>
    <row r="11" spans="1:6" ht="16.5">
      <c r="A11" s="13">
        <v>3</v>
      </c>
      <c r="B11" s="13" t="s">
        <v>1457</v>
      </c>
      <c r="C11" s="13" t="s">
        <v>344</v>
      </c>
      <c r="D11" s="8" t="str">
        <f>IFERROR(_xlfn.XLOOKUP(C11,index.html!C:C,index.html!D:D)," ")</f>
        <v xml:space="preserve"> </v>
      </c>
      <c r="E11" s="13" t="s">
        <v>72</v>
      </c>
      <c r="F11" s="13"/>
    </row>
    <row r="12" spans="1:6" ht="16.5">
      <c r="A12" s="16">
        <v>4</v>
      </c>
      <c r="B12" s="16" t="s">
        <v>1457</v>
      </c>
      <c r="C12" s="16" t="s">
        <v>439</v>
      </c>
      <c r="D12" s="8" t="str">
        <f>IFERROR(_xlfn.XLOOKUP(C12,index.html!C:C,index.html!D:D)," ")</f>
        <v xml:space="preserve"> </v>
      </c>
      <c r="E12" s="16" t="s">
        <v>161</v>
      </c>
      <c r="F12" s="16"/>
    </row>
    <row r="13" spans="1:6" ht="16.5">
      <c r="A13" s="13">
        <v>5</v>
      </c>
      <c r="B13" s="13" t="s">
        <v>1457</v>
      </c>
      <c r="C13" s="13" t="s">
        <v>440</v>
      </c>
      <c r="D13" s="8" t="str">
        <f>IFERROR(_xlfn.XLOOKUP(C13,index.html!C:C,index.html!D:D)," ")</f>
        <v xml:space="preserve"> </v>
      </c>
      <c r="E13" s="13" t="s">
        <v>441</v>
      </c>
      <c r="F13" s="13"/>
    </row>
    <row r="14" spans="1:6" ht="16.5">
      <c r="A14" s="16">
        <v>6</v>
      </c>
      <c r="B14" s="16" t="s">
        <v>1457</v>
      </c>
      <c r="C14" s="16" t="s">
        <v>79</v>
      </c>
      <c r="D14" s="8" t="str">
        <f>IFERROR(_xlfn.XLOOKUP(C14,index.html!C:C,index.html!D:D)," ")</f>
        <v>立即申请</v>
      </c>
      <c r="E14" s="16" t="s">
        <v>80</v>
      </c>
      <c r="F14" s="16"/>
    </row>
    <row r="15" spans="1:6" ht="16.5">
      <c r="A15" s="13">
        <v>7</v>
      </c>
      <c r="B15" s="13" t="s">
        <v>360</v>
      </c>
      <c r="C15" s="13" t="s">
        <v>1616</v>
      </c>
      <c r="D15" s="8" t="str">
        <f>IFERROR(_xlfn.XLOOKUP(C15,index.html!C:C,index.html!D:D)," ")</f>
        <v xml:space="preserve"> </v>
      </c>
      <c r="E15" s="13" t="s">
        <v>1617</v>
      </c>
      <c r="F15" s="13"/>
    </row>
    <row r="16" spans="1:6" ht="51">
      <c r="A16" s="16">
        <v>8</v>
      </c>
      <c r="B16" s="16" t="s">
        <v>360</v>
      </c>
      <c r="C16" s="16" t="s">
        <v>1618</v>
      </c>
      <c r="D16" s="8"/>
      <c r="E16" s="16" t="s">
        <v>1619</v>
      </c>
      <c r="F16" s="16"/>
    </row>
    <row r="17" spans="1:6" ht="16.5">
      <c r="A17" s="13">
        <v>9</v>
      </c>
      <c r="B17" s="13" t="s">
        <v>360</v>
      </c>
      <c r="C17" s="13" t="s">
        <v>701</v>
      </c>
      <c r="D17" s="8" t="str">
        <f>IFERROR(_xlfn.XLOOKUP(C17,index.html!C:C,index.html!D:D)," ")</f>
        <v xml:space="preserve"> </v>
      </c>
      <c r="E17" s="13" t="s">
        <v>96</v>
      </c>
      <c r="F17" s="13"/>
    </row>
    <row r="18" spans="1:6" ht="16.5">
      <c r="A18" s="16">
        <v>10</v>
      </c>
      <c r="B18" s="16" t="s">
        <v>360</v>
      </c>
      <c r="C18" s="16" t="s">
        <v>1464</v>
      </c>
      <c r="D18" s="8" t="str">
        <f>IFERROR(_xlfn.XLOOKUP(C18,index.html!C:C,index.html!D:D)," ")</f>
        <v xml:space="preserve"> </v>
      </c>
      <c r="E18" s="16" t="s">
        <v>1466</v>
      </c>
      <c r="F18" s="16"/>
    </row>
    <row r="19" spans="1:6" ht="16.5">
      <c r="A19" s="13">
        <v>11</v>
      </c>
      <c r="B19" s="13" t="s">
        <v>226</v>
      </c>
      <c r="C19" s="13" t="s">
        <v>1620</v>
      </c>
      <c r="D19" s="8" t="str">
        <f>IFERROR(_xlfn.XLOOKUP(C19,index.html!C:C,index.html!D:D)," ")</f>
        <v xml:space="preserve"> </v>
      </c>
      <c r="E19" s="13" t="s">
        <v>1621</v>
      </c>
      <c r="F19" s="13"/>
    </row>
    <row r="20" spans="1:6" ht="16.5">
      <c r="A20" s="16">
        <v>12</v>
      </c>
      <c r="B20" s="16" t="s">
        <v>226</v>
      </c>
      <c r="C20" s="16" t="s">
        <v>1622</v>
      </c>
      <c r="D20" s="8" t="str">
        <f>IFERROR(_xlfn.XLOOKUP(C20,index.html!C:C,index.html!D:D)," ")</f>
        <v xml:space="preserve"> </v>
      </c>
      <c r="E20" s="16" t="s">
        <v>1623</v>
      </c>
      <c r="F20" s="16"/>
    </row>
    <row r="21" spans="1:6" ht="16.5">
      <c r="A21" s="13">
        <v>13</v>
      </c>
      <c r="B21" s="13" t="s">
        <v>147</v>
      </c>
      <c r="C21" s="13" t="s">
        <v>1624</v>
      </c>
      <c r="D21" s="8" t="str">
        <f>IFERROR(_xlfn.XLOOKUP(C21,index.html!C:C,index.html!D:D)," ")</f>
        <v xml:space="preserve"> </v>
      </c>
      <c r="E21" s="13" t="s">
        <v>1625</v>
      </c>
      <c r="F21" s="13"/>
    </row>
    <row r="22" spans="1:6" ht="16.5">
      <c r="A22" s="16">
        <v>14</v>
      </c>
      <c r="B22" s="16" t="s">
        <v>226</v>
      </c>
      <c r="C22" s="16" t="s">
        <v>1626</v>
      </c>
      <c r="D22" s="8" t="str">
        <f>IFERROR(_xlfn.XLOOKUP(C22,index.html!C:C,index.html!D:D)," ")</f>
        <v xml:space="preserve"> </v>
      </c>
      <c r="E22" s="16" t="s">
        <v>1627</v>
      </c>
      <c r="F22" s="16"/>
    </row>
    <row r="23" spans="1:6" ht="16.5">
      <c r="A23" s="13">
        <v>15</v>
      </c>
      <c r="B23" s="13" t="s">
        <v>226</v>
      </c>
      <c r="C23" s="13" t="s">
        <v>1628</v>
      </c>
      <c r="D23" s="8" t="str">
        <f>IFERROR(_xlfn.XLOOKUP(C23,index.html!C:C,index.html!D:D)," ")</f>
        <v xml:space="preserve"> </v>
      </c>
      <c r="E23" s="13" t="s">
        <v>1629</v>
      </c>
      <c r="F23" s="13"/>
    </row>
    <row r="24" spans="1:6" ht="16.5">
      <c r="A24" s="16">
        <v>16</v>
      </c>
      <c r="B24" s="16" t="s">
        <v>147</v>
      </c>
      <c r="C24" s="16" t="s">
        <v>1630</v>
      </c>
      <c r="D24" s="8" t="str">
        <f>IFERROR(_xlfn.XLOOKUP(C24,index.html!C:C,index.html!D:D)," ")</f>
        <v xml:space="preserve"> </v>
      </c>
      <c r="E24" s="16" t="s">
        <v>1631</v>
      </c>
      <c r="F24" s="16"/>
    </row>
    <row r="25" spans="1:6" ht="16.5">
      <c r="A25" s="13">
        <v>17</v>
      </c>
      <c r="B25" s="13" t="s">
        <v>226</v>
      </c>
      <c r="C25" s="13" t="s">
        <v>1632</v>
      </c>
      <c r="D25" s="8" t="str">
        <f>IFERROR(_xlfn.XLOOKUP(C25,index.html!C:C,index.html!D:D)," ")</f>
        <v xml:space="preserve"> </v>
      </c>
      <c r="E25" s="13" t="s">
        <v>1633</v>
      </c>
      <c r="F25" s="13"/>
    </row>
    <row r="26" spans="1:6" ht="16.5">
      <c r="A26" s="16">
        <v>18</v>
      </c>
      <c r="B26" s="16" t="s">
        <v>147</v>
      </c>
      <c r="C26" s="16" t="s">
        <v>1634</v>
      </c>
      <c r="D26" s="8" t="str">
        <f>IFERROR(_xlfn.XLOOKUP(C26,index.html!C:C,index.html!D:D)," ")</f>
        <v xml:space="preserve"> </v>
      </c>
      <c r="E26" s="16" t="s">
        <v>1635</v>
      </c>
      <c r="F26" s="16"/>
    </row>
    <row r="27" spans="1:6" ht="16.5">
      <c r="A27" s="13">
        <v>19</v>
      </c>
      <c r="B27" s="13" t="s">
        <v>226</v>
      </c>
      <c r="C27" s="13" t="s">
        <v>1636</v>
      </c>
      <c r="D27" s="8" t="str">
        <f>IFERROR(_xlfn.XLOOKUP(C27,index.html!C:C,index.html!D:D)," ")</f>
        <v xml:space="preserve"> </v>
      </c>
      <c r="E27" s="13" t="s">
        <v>1637</v>
      </c>
      <c r="F27" s="13"/>
    </row>
    <row r="28" spans="1:6" ht="16.5">
      <c r="A28" s="16">
        <v>20</v>
      </c>
      <c r="B28" s="16" t="s">
        <v>147</v>
      </c>
      <c r="C28" s="16" t="s">
        <v>1638</v>
      </c>
      <c r="D28" s="8" t="str">
        <f>IFERROR(_xlfn.XLOOKUP(C28,index.html!C:C,index.html!D:D)," ")</f>
        <v xml:space="preserve"> </v>
      </c>
      <c r="E28" s="16" t="s">
        <v>1639</v>
      </c>
      <c r="F28" s="16"/>
    </row>
    <row r="29" spans="1:6" ht="32.25">
      <c r="A29" s="13">
        <v>21</v>
      </c>
      <c r="B29" s="13" t="s">
        <v>226</v>
      </c>
      <c r="C29" s="13" t="s">
        <v>1640</v>
      </c>
      <c r="D29" s="8" t="str">
        <f>IFERROR(_xlfn.XLOOKUP(C29,index.html!C:C,index.html!D:D)," ")</f>
        <v xml:space="preserve"> </v>
      </c>
      <c r="E29" s="13" t="s">
        <v>1641</v>
      </c>
      <c r="F29" s="13"/>
    </row>
    <row r="30" spans="1:6" ht="16.5">
      <c r="A30" s="16">
        <v>22</v>
      </c>
      <c r="B30" s="16" t="s">
        <v>317</v>
      </c>
      <c r="C30" s="16" t="s">
        <v>1145</v>
      </c>
      <c r="D30" s="8" t="str">
        <f>IFERROR(_xlfn.XLOOKUP(C30,index.html!C:C,index.html!D:D)," ")</f>
        <v xml:space="preserve"> </v>
      </c>
      <c r="E30" s="16" t="s">
        <v>1146</v>
      </c>
      <c r="F30" s="16"/>
    </row>
    <row r="31" spans="1:6" ht="16.5">
      <c r="A31" s="13">
        <v>23</v>
      </c>
      <c r="B31" s="13" t="s">
        <v>317</v>
      </c>
      <c r="C31" s="13" t="s">
        <v>1642</v>
      </c>
      <c r="D31" s="8" t="str">
        <f>IFERROR(_xlfn.XLOOKUP(C31,index.html!C:C,index.html!D:D)," ")</f>
        <v xml:space="preserve"> </v>
      </c>
      <c r="E31" s="13" t="s">
        <v>1643</v>
      </c>
      <c r="F31" s="13"/>
    </row>
    <row r="32" spans="1:6" ht="16.5">
      <c r="A32" s="16">
        <v>24</v>
      </c>
      <c r="B32" s="16" t="s">
        <v>147</v>
      </c>
      <c r="C32" s="16" t="s">
        <v>1644</v>
      </c>
      <c r="D32" s="8" t="str">
        <f>IFERROR(_xlfn.XLOOKUP(C32,index.html!C:C,index.html!D:D)," ")</f>
        <v xml:space="preserve"> </v>
      </c>
      <c r="E32" s="16" t="s">
        <v>1645</v>
      </c>
      <c r="F32" s="16"/>
    </row>
    <row r="33" spans="1:6" ht="51">
      <c r="A33" s="13">
        <v>25</v>
      </c>
      <c r="B33" s="13" t="s">
        <v>317</v>
      </c>
      <c r="C33" s="13" t="s">
        <v>1646</v>
      </c>
      <c r="D33" s="8" t="str">
        <f>IFERROR(_xlfn.XLOOKUP(C33,index.html!C:C,index.html!D:D)," ")</f>
        <v xml:space="preserve"> </v>
      </c>
      <c r="E33" s="13" t="s">
        <v>1647</v>
      </c>
      <c r="F33" s="13"/>
    </row>
    <row r="34" spans="1:6" ht="16.5">
      <c r="A34" s="16">
        <v>26</v>
      </c>
      <c r="B34" s="16" t="s">
        <v>147</v>
      </c>
      <c r="C34" s="16" t="s">
        <v>1648</v>
      </c>
      <c r="D34" s="8" t="str">
        <f>IFERROR(_xlfn.XLOOKUP(C34,index.html!C:C,index.html!D:D)," ")</f>
        <v xml:space="preserve"> </v>
      </c>
      <c r="E34" s="16" t="s">
        <v>1649</v>
      </c>
      <c r="F34" s="16"/>
    </row>
    <row r="35" spans="1:6" ht="33">
      <c r="A35" s="13">
        <v>27</v>
      </c>
      <c r="B35" s="13" t="s">
        <v>317</v>
      </c>
      <c r="C35" s="13" t="s">
        <v>1650</v>
      </c>
      <c r="D35" s="8" t="str">
        <f>IFERROR(_xlfn.XLOOKUP(C35,index.html!C:C,index.html!D:D)," ")</f>
        <v xml:space="preserve"> </v>
      </c>
      <c r="E35" s="13" t="s">
        <v>1651</v>
      </c>
      <c r="F35" s="13"/>
    </row>
    <row r="36" spans="1:6" ht="16.5">
      <c r="A36" s="16">
        <v>28</v>
      </c>
      <c r="B36" s="16" t="s">
        <v>147</v>
      </c>
      <c r="C36" s="16" t="s">
        <v>1652</v>
      </c>
      <c r="D36" s="8" t="str">
        <f>IFERROR(_xlfn.XLOOKUP(C36,index.html!C:C,index.html!D:D)," ")</f>
        <v xml:space="preserve"> </v>
      </c>
      <c r="E36" s="16" t="s">
        <v>1653</v>
      </c>
      <c r="F36" s="16"/>
    </row>
    <row r="37" spans="1:6" ht="33">
      <c r="A37" s="13">
        <v>29</v>
      </c>
      <c r="B37" s="13" t="s">
        <v>317</v>
      </c>
      <c r="C37" s="13" t="s">
        <v>1654</v>
      </c>
      <c r="D37" s="8" t="str">
        <f>IFERROR(_xlfn.XLOOKUP(C37,index.html!C:C,index.html!D:D)," ")</f>
        <v xml:space="preserve"> </v>
      </c>
      <c r="E37" s="13" t="s">
        <v>1655</v>
      </c>
      <c r="F37" s="13"/>
    </row>
    <row r="38" spans="1:6" ht="16.5">
      <c r="A38" s="16">
        <v>30</v>
      </c>
      <c r="B38" s="16" t="s">
        <v>147</v>
      </c>
      <c r="C38" s="16" t="s">
        <v>1656</v>
      </c>
      <c r="D38" s="8" t="str">
        <f>IFERROR(_xlfn.XLOOKUP(C38,index.html!C:C,index.html!D:D)," ")</f>
        <v xml:space="preserve"> </v>
      </c>
      <c r="E38" s="16" t="s">
        <v>1657</v>
      </c>
      <c r="F38" s="16"/>
    </row>
    <row r="39" spans="1:6" ht="33">
      <c r="A39" s="13">
        <v>31</v>
      </c>
      <c r="B39" s="13" t="s">
        <v>317</v>
      </c>
      <c r="C39" s="13" t="s">
        <v>1658</v>
      </c>
      <c r="D39" s="8" t="str">
        <f>IFERROR(_xlfn.XLOOKUP(C39,index.html!C:C,index.html!D:D)," ")</f>
        <v xml:space="preserve"> </v>
      </c>
      <c r="E39" s="13" t="s">
        <v>1659</v>
      </c>
      <c r="F39" s="13"/>
    </row>
    <row r="40" spans="1:6" ht="16.5">
      <c r="A40" s="16">
        <v>32</v>
      </c>
      <c r="B40" s="16" t="s">
        <v>147</v>
      </c>
      <c r="C40" s="16" t="s">
        <v>1660</v>
      </c>
      <c r="D40" s="8" t="str">
        <f>IFERROR(_xlfn.XLOOKUP(C40,index.html!C:C,index.html!D:D)," ")</f>
        <v xml:space="preserve"> </v>
      </c>
      <c r="E40" s="16" t="s">
        <v>1661</v>
      </c>
      <c r="F40" s="16"/>
    </row>
    <row r="41" spans="1:6" ht="33">
      <c r="A41" s="13">
        <v>33</v>
      </c>
      <c r="B41" s="13" t="s">
        <v>317</v>
      </c>
      <c r="C41" s="13" t="s">
        <v>1662</v>
      </c>
      <c r="D41" s="8" t="str">
        <f>IFERROR(_xlfn.XLOOKUP(C41,index.html!C:C,index.html!D:D)," ")</f>
        <v xml:space="preserve"> </v>
      </c>
      <c r="E41" s="13" t="s">
        <v>1663</v>
      </c>
      <c r="F41" s="13"/>
    </row>
    <row r="42" spans="1:6" ht="16.5">
      <c r="A42" s="16">
        <v>34</v>
      </c>
      <c r="B42" s="16" t="s">
        <v>147</v>
      </c>
      <c r="C42" s="16" t="s">
        <v>1664</v>
      </c>
      <c r="D42" s="8" t="str">
        <f>IFERROR(_xlfn.XLOOKUP(C42,index.html!C:C,index.html!D:D)," ")</f>
        <v xml:space="preserve"> </v>
      </c>
      <c r="E42" s="16" t="s">
        <v>1665</v>
      </c>
      <c r="F42" s="16"/>
    </row>
    <row r="43" spans="1:6" ht="51">
      <c r="A43" s="13">
        <v>35</v>
      </c>
      <c r="B43" s="13" t="s">
        <v>317</v>
      </c>
      <c r="C43" s="13" t="s">
        <v>1666</v>
      </c>
      <c r="D43" s="8" t="str">
        <f>IFERROR(_xlfn.XLOOKUP(C43,index.html!C:C,index.html!D:D)," ")</f>
        <v xml:space="preserve"> </v>
      </c>
      <c r="E43" s="13" t="s">
        <v>1667</v>
      </c>
      <c r="F43" s="13"/>
    </row>
    <row r="44" spans="1:6" ht="16.5">
      <c r="A44" s="16">
        <v>36</v>
      </c>
      <c r="B44" s="16" t="s">
        <v>147</v>
      </c>
      <c r="C44" s="16" t="s">
        <v>1668</v>
      </c>
      <c r="D44" s="8" t="str">
        <f>IFERROR(_xlfn.XLOOKUP(C44,index.html!C:C,index.html!D:D)," ")</f>
        <v xml:space="preserve"> </v>
      </c>
      <c r="E44" s="16" t="s">
        <v>1669</v>
      </c>
      <c r="F44" s="16"/>
    </row>
    <row r="45" spans="1:6" ht="51">
      <c r="A45" s="13">
        <v>37</v>
      </c>
      <c r="B45" s="13" t="s">
        <v>317</v>
      </c>
      <c r="C45" s="13" t="s">
        <v>1670</v>
      </c>
      <c r="D45" s="8" t="str">
        <f>IFERROR(_xlfn.XLOOKUP(C45,index.html!C:C,index.html!D:D)," ")</f>
        <v xml:space="preserve"> </v>
      </c>
      <c r="E45" s="13" t="s">
        <v>1671</v>
      </c>
      <c r="F45" s="13"/>
    </row>
    <row r="46" spans="1:6" ht="16.5">
      <c r="A46" s="16">
        <v>38</v>
      </c>
      <c r="B46" s="16" t="s">
        <v>147</v>
      </c>
      <c r="C46" s="16" t="s">
        <v>1672</v>
      </c>
      <c r="D46" s="8" t="str">
        <f>IFERROR(_xlfn.XLOOKUP(C46,index.html!C:C,index.html!D:D)," ")</f>
        <v xml:space="preserve"> </v>
      </c>
      <c r="E46" s="16" t="s">
        <v>1673</v>
      </c>
      <c r="F46" s="16"/>
    </row>
    <row r="47" spans="1:6" ht="33">
      <c r="A47" s="13">
        <v>39</v>
      </c>
      <c r="B47" s="13" t="s">
        <v>317</v>
      </c>
      <c r="C47" s="13" t="s">
        <v>1674</v>
      </c>
      <c r="D47" s="8" t="str">
        <f>IFERROR(_xlfn.XLOOKUP(C47,index.html!C:C,index.html!D:D)," ")</f>
        <v xml:space="preserve"> </v>
      </c>
      <c r="E47" s="13" t="s">
        <v>1675</v>
      </c>
      <c r="F47" s="13"/>
    </row>
    <row r="48" spans="1:6" ht="33">
      <c r="A48" s="16">
        <v>40</v>
      </c>
      <c r="B48" s="16" t="s">
        <v>147</v>
      </c>
      <c r="C48" s="16" t="s">
        <v>1676</v>
      </c>
      <c r="D48" s="8" t="str">
        <f>IFERROR(_xlfn.XLOOKUP(C48,index.html!C:C,index.html!D:D)," ")</f>
        <v xml:space="preserve"> </v>
      </c>
      <c r="E48" s="16" t="s">
        <v>1677</v>
      </c>
      <c r="F48" s="16"/>
    </row>
    <row r="49" spans="1:6" ht="16.5">
      <c r="A49" s="13">
        <v>41</v>
      </c>
      <c r="B49" s="13" t="s">
        <v>1678</v>
      </c>
      <c r="C49" s="13" t="s">
        <v>1679</v>
      </c>
      <c r="D49" s="8" t="str">
        <f>IFERROR(_xlfn.XLOOKUP(C49,index.html!C:C,index.html!D:D)," ")</f>
        <v xml:space="preserve"> </v>
      </c>
      <c r="E49" s="13" t="s">
        <v>1680</v>
      </c>
      <c r="F49" s="13"/>
    </row>
    <row r="50" spans="1:6" ht="33">
      <c r="A50" s="16">
        <v>42</v>
      </c>
      <c r="B50" s="16" t="s">
        <v>147</v>
      </c>
      <c r="C50" s="16" t="s">
        <v>1681</v>
      </c>
      <c r="D50" s="8" t="str">
        <f>IFERROR(_xlfn.XLOOKUP(C50,index.html!C:C,index.html!D:D)," ")</f>
        <v xml:space="preserve"> </v>
      </c>
      <c r="E50" s="16" t="s">
        <v>1682</v>
      </c>
      <c r="F50" s="16"/>
    </row>
    <row r="51" spans="1:6" ht="16.5">
      <c r="A51" s="13">
        <v>43</v>
      </c>
      <c r="B51" s="13" t="s">
        <v>1457</v>
      </c>
      <c r="C51" s="13" t="s">
        <v>952</v>
      </c>
      <c r="D51" s="8" t="str">
        <f>IFERROR(_xlfn.XLOOKUP(C51,index.html!C:C,index.html!D:D)," ")</f>
        <v xml:space="preserve"> </v>
      </c>
      <c r="E51" s="13" t="s">
        <v>70</v>
      </c>
      <c r="F51" s="13"/>
    </row>
    <row r="52" spans="1:6" ht="16.5">
      <c r="A52" s="16">
        <v>44</v>
      </c>
      <c r="B52" s="16" t="s">
        <v>147</v>
      </c>
      <c r="C52" s="16" t="s">
        <v>953</v>
      </c>
      <c r="D52" s="8" t="str">
        <f>IFERROR(_xlfn.XLOOKUP(C52,index.html!C:C,index.html!D:D)," ")</f>
        <v xml:space="preserve"> </v>
      </c>
      <c r="E52" s="16" t="s">
        <v>955</v>
      </c>
      <c r="F52" s="16"/>
    </row>
    <row r="53" spans="1:6" ht="33">
      <c r="A53" s="13">
        <v>45</v>
      </c>
      <c r="B53" s="13" t="s">
        <v>147</v>
      </c>
      <c r="C53" s="13" t="s">
        <v>1683</v>
      </c>
      <c r="D53" s="8" t="str">
        <f>IFERROR(_xlfn.XLOOKUP(C53,index.html!C:C,index.html!D:D)," ")</f>
        <v xml:space="preserve"> </v>
      </c>
      <c r="E53" s="13" t="s">
        <v>1684</v>
      </c>
      <c r="F53" s="13"/>
    </row>
    <row r="54" spans="1:6" ht="16.5">
      <c r="A54" s="16">
        <v>46</v>
      </c>
      <c r="B54" s="16" t="s">
        <v>1457</v>
      </c>
      <c r="C54" s="16" t="s">
        <v>958</v>
      </c>
      <c r="D54" s="8" t="str">
        <f>IFERROR(_xlfn.XLOOKUP(C54,index.html!C:C,index.html!D:D)," ")</f>
        <v xml:space="preserve"> </v>
      </c>
      <c r="E54" s="16" t="s">
        <v>960</v>
      </c>
      <c r="F54" s="16"/>
    </row>
    <row r="55" spans="1:6" ht="16.5">
      <c r="A55" s="13">
        <v>47</v>
      </c>
      <c r="B55" s="13" t="s">
        <v>360</v>
      </c>
      <c r="C55" s="13" t="s">
        <v>606</v>
      </c>
      <c r="D55" s="8" t="str">
        <f>IFERROR(_xlfn.XLOOKUP(C55,index.html!C:C,index.html!D:D)," ")</f>
        <v xml:space="preserve"> </v>
      </c>
      <c r="E55" s="13" t="s">
        <v>607</v>
      </c>
      <c r="F55" s="13"/>
    </row>
    <row r="56" spans="1:6" ht="33">
      <c r="A56" s="16">
        <v>48</v>
      </c>
      <c r="B56" s="16" t="s">
        <v>147</v>
      </c>
      <c r="C56" s="16" t="s">
        <v>1685</v>
      </c>
      <c r="D56" s="8" t="str">
        <f>IFERROR(_xlfn.XLOOKUP(C56,index.html!C:C,index.html!D:D)," ")</f>
        <v xml:space="preserve"> </v>
      </c>
      <c r="E56" s="16" t="s">
        <v>1686</v>
      </c>
      <c r="F56" s="16"/>
    </row>
    <row r="57" spans="1:6" ht="16.5">
      <c r="A57" s="13">
        <v>49</v>
      </c>
      <c r="B57" s="13" t="s">
        <v>1457</v>
      </c>
      <c r="C57" s="13" t="s">
        <v>601</v>
      </c>
      <c r="D57" s="8"/>
      <c r="E57" s="13" t="s">
        <v>602</v>
      </c>
      <c r="F57" s="13"/>
    </row>
  </sheetData>
  <hyperlinks>
    <hyperlink ref="B2" r:id="rId1" xr:uid="{DEAC5E84-1466-42FD-8A23-7C05DFCC2C6E}"/>
  </hyperlinks>
  <pageMargins left="0.75" right="0.75" top="1" bottom="1" header="0.5" footer="0.5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6"/>
  <sheetViews>
    <sheetView topLeftCell="A16" workbookViewId="0">
      <selection activeCell="D12" sqref="D12"/>
    </sheetView>
  </sheetViews>
  <sheetFormatPr defaultRowHeight="15"/>
  <cols>
    <col min="1" max="1" width="17.28515625" bestFit="1" customWidth="1"/>
    <col min="2" max="2" width="59.42578125" bestFit="1" customWidth="1"/>
    <col min="3" max="3" width="45" customWidth="1"/>
    <col min="4" max="4" width="20" customWidth="1"/>
    <col min="5" max="5" width="45" customWidth="1"/>
    <col min="6" max="6" width="20" customWidth="1"/>
  </cols>
  <sheetData>
    <row r="1" spans="1:6">
      <c r="A1" s="15" t="s">
        <v>10</v>
      </c>
      <c r="B1" t="s">
        <v>11</v>
      </c>
    </row>
    <row r="2" spans="1:6">
      <c r="A2" s="15" t="s">
        <v>1449</v>
      </c>
      <c r="B2" s="33" t="s">
        <v>41</v>
      </c>
    </row>
    <row r="3" spans="1:6">
      <c r="A3" s="15" t="s">
        <v>1450</v>
      </c>
      <c r="B3" t="s">
        <v>1687</v>
      </c>
    </row>
    <row r="4" spans="1:6">
      <c r="A4" s="15" t="s">
        <v>1452</v>
      </c>
      <c r="B4" t="s">
        <v>1688</v>
      </c>
    </row>
    <row r="5" spans="1:6">
      <c r="A5" s="15" t="s">
        <v>1454</v>
      </c>
      <c r="B5" t="s">
        <v>50</v>
      </c>
    </row>
    <row r="6" spans="1:6">
      <c r="A6" s="15" t="s">
        <v>1455</v>
      </c>
      <c r="B6" t="s">
        <v>14</v>
      </c>
    </row>
    <row r="7" spans="1:6">
      <c r="A7" s="15" t="s">
        <v>1456</v>
      </c>
      <c r="B7">
        <v>68</v>
      </c>
    </row>
    <row r="8" spans="1:6">
      <c r="A8" s="36" t="s">
        <v>58</v>
      </c>
      <c r="B8" s="36" t="s">
        <v>59</v>
      </c>
      <c r="C8" s="37" t="s">
        <v>60</v>
      </c>
      <c r="D8" s="37" t="s">
        <v>61</v>
      </c>
      <c r="E8" s="37" t="s">
        <v>62</v>
      </c>
      <c r="F8" s="37" t="s">
        <v>63</v>
      </c>
    </row>
    <row r="9" spans="1:6" ht="16.5">
      <c r="A9" s="13">
        <v>1</v>
      </c>
      <c r="B9" s="13" t="s">
        <v>1689</v>
      </c>
      <c r="C9" s="13" t="s">
        <v>1690</v>
      </c>
      <c r="D9" s="8" t="str">
        <f>IFERROR(_xlfn.XLOOKUP(C9,index.html!C:C,index.html!D:D)," ")</f>
        <v xml:space="preserve"> </v>
      </c>
      <c r="E9" s="13" t="s">
        <v>1691</v>
      </c>
      <c r="F9" s="13"/>
    </row>
    <row r="10" spans="1:6" ht="33">
      <c r="A10" s="16">
        <v>2</v>
      </c>
      <c r="B10" s="16" t="s">
        <v>1689</v>
      </c>
      <c r="C10" s="16" t="s">
        <v>1692</v>
      </c>
      <c r="D10" s="8" t="str">
        <f>IFERROR(_xlfn.XLOOKUP(C10,index.html!C:C,index.html!D:D)," ")</f>
        <v xml:space="preserve"> </v>
      </c>
      <c r="E10" s="16" t="s">
        <v>1693</v>
      </c>
      <c r="F10" s="16"/>
    </row>
    <row r="11" spans="1:6" ht="16.5">
      <c r="A11" s="13">
        <v>3</v>
      </c>
      <c r="B11" s="13" t="s">
        <v>1457</v>
      </c>
      <c r="C11" s="13" t="s">
        <v>1694</v>
      </c>
      <c r="D11" s="8" t="str">
        <f>IFERROR(_xlfn.XLOOKUP(C11,index.html!C:C,index.html!D:D)," ")</f>
        <v xml:space="preserve"> </v>
      </c>
      <c r="E11" s="13" t="s">
        <v>1695</v>
      </c>
      <c r="F11" s="13"/>
    </row>
    <row r="12" spans="1:6" ht="33">
      <c r="A12" s="16">
        <v>4</v>
      </c>
      <c r="B12" s="16" t="s">
        <v>1457</v>
      </c>
      <c r="C12" s="16" t="s">
        <v>1696</v>
      </c>
      <c r="D12" s="8" t="str">
        <f>IFERROR(_xlfn.XLOOKUP(C12,index.html!C:C,index.html!D:D)," ")</f>
        <v xml:space="preserve"> </v>
      </c>
      <c r="E12" s="16" t="s">
        <v>1697</v>
      </c>
      <c r="F12" s="16"/>
    </row>
    <row r="13" spans="1:6" ht="33">
      <c r="A13" s="13">
        <v>5</v>
      </c>
      <c r="B13" s="13" t="s">
        <v>1457</v>
      </c>
      <c r="C13" s="13" t="s">
        <v>1698</v>
      </c>
      <c r="D13" s="8" t="str">
        <f>IFERROR(_xlfn.XLOOKUP(C13,index.html!C:C,index.html!D:D)," ")</f>
        <v xml:space="preserve"> </v>
      </c>
      <c r="E13" s="13" t="s">
        <v>1699</v>
      </c>
      <c r="F13" s="13"/>
    </row>
    <row r="14" spans="1:6" ht="33">
      <c r="A14" s="16">
        <v>6</v>
      </c>
      <c r="B14" s="16" t="s">
        <v>1457</v>
      </c>
      <c r="C14" s="16" t="s">
        <v>1700</v>
      </c>
      <c r="D14" s="8" t="str">
        <f>IFERROR(_xlfn.XLOOKUP(C14,index.html!C:C,index.html!D:D)," ")</f>
        <v xml:space="preserve"> </v>
      </c>
      <c r="E14" s="16" t="s">
        <v>1701</v>
      </c>
      <c r="F14" s="16"/>
    </row>
    <row r="15" spans="1:6" ht="33">
      <c r="A15" s="13">
        <v>7</v>
      </c>
      <c r="B15" s="13" t="s">
        <v>1689</v>
      </c>
      <c r="C15" s="13" t="s">
        <v>1702</v>
      </c>
      <c r="D15" s="8" t="str">
        <f>IFERROR(_xlfn.XLOOKUP(C15,index.html!C:C,index.html!D:D)," ")</f>
        <v xml:space="preserve"> </v>
      </c>
      <c r="E15" s="13" t="s">
        <v>1703</v>
      </c>
      <c r="F15" s="13"/>
    </row>
    <row r="16" spans="1:6" ht="16.5">
      <c r="A16" s="16">
        <v>8</v>
      </c>
      <c r="B16" s="16" t="s">
        <v>1689</v>
      </c>
      <c r="C16" s="16" t="s">
        <v>1704</v>
      </c>
      <c r="D16" s="8" t="str">
        <f>IFERROR(_xlfn.XLOOKUP(C16,index.html!C:C,index.html!D:D)," ")</f>
        <v xml:space="preserve"> </v>
      </c>
      <c r="E16" s="16" t="s">
        <v>1705</v>
      </c>
      <c r="F16" s="16"/>
    </row>
    <row r="17" spans="1:6" ht="16.5">
      <c r="A17" s="13">
        <v>9</v>
      </c>
      <c r="B17" s="13" t="s">
        <v>1689</v>
      </c>
      <c r="C17" s="13" t="s">
        <v>1706</v>
      </c>
      <c r="D17" s="8" t="str">
        <f>IFERROR(_xlfn.XLOOKUP(C17,index.html!C:C,index.html!D:D)," ")</f>
        <v xml:space="preserve"> </v>
      </c>
      <c r="E17" s="13" t="s">
        <v>1707</v>
      </c>
      <c r="F17" s="13"/>
    </row>
    <row r="18" spans="1:6" ht="33">
      <c r="A18" s="16">
        <v>10</v>
      </c>
      <c r="B18" s="16" t="s">
        <v>1689</v>
      </c>
      <c r="C18" s="16" t="s">
        <v>1708</v>
      </c>
      <c r="D18" s="8" t="str">
        <f>IFERROR(_xlfn.XLOOKUP(C18,index.html!C:C,index.html!D:D)," ")</f>
        <v xml:space="preserve"> </v>
      </c>
      <c r="E18" s="16" t="s">
        <v>1709</v>
      </c>
      <c r="F18" s="16"/>
    </row>
    <row r="19" spans="1:6" ht="33">
      <c r="A19" s="13">
        <v>11</v>
      </c>
      <c r="B19" s="13" t="s">
        <v>1457</v>
      </c>
      <c r="C19" s="13" t="s">
        <v>1710</v>
      </c>
      <c r="D19" s="8" t="str">
        <f>IFERROR(_xlfn.XLOOKUP(C19,index.html!C:C,index.html!D:D)," ")</f>
        <v xml:space="preserve"> </v>
      </c>
      <c r="E19" s="13" t="s">
        <v>1711</v>
      </c>
      <c r="F19" s="13"/>
    </row>
    <row r="20" spans="1:6" ht="33">
      <c r="A20" s="16">
        <v>12</v>
      </c>
      <c r="B20" s="16" t="s">
        <v>1457</v>
      </c>
      <c r="C20" s="16" t="s">
        <v>1712</v>
      </c>
      <c r="D20" s="8" t="str">
        <f>IFERROR(_xlfn.XLOOKUP(C20,index.html!C:C,index.html!D:D)," ")</f>
        <v xml:space="preserve"> </v>
      </c>
      <c r="E20" s="16" t="s">
        <v>1713</v>
      </c>
      <c r="F20" s="16"/>
    </row>
    <row r="21" spans="1:6" ht="16.5">
      <c r="A21" s="13">
        <v>13</v>
      </c>
      <c r="B21" s="13" t="s">
        <v>1457</v>
      </c>
      <c r="C21" s="13" t="s">
        <v>1714</v>
      </c>
      <c r="D21" s="8" t="str">
        <f>IFERROR(_xlfn.XLOOKUP(C21,index.html!C:C,index.html!D:D)," ")</f>
        <v xml:space="preserve"> </v>
      </c>
      <c r="E21" s="13" t="s">
        <v>1715</v>
      </c>
      <c r="F21" s="13"/>
    </row>
    <row r="22" spans="1:6" ht="33">
      <c r="A22" s="16">
        <v>14</v>
      </c>
      <c r="B22" s="16" t="s">
        <v>1457</v>
      </c>
      <c r="C22" s="16" t="s">
        <v>1716</v>
      </c>
      <c r="D22" s="8" t="str">
        <f>IFERROR(_xlfn.XLOOKUP(C22,index.html!C:C,index.html!D:D)," ")</f>
        <v xml:space="preserve"> </v>
      </c>
      <c r="E22" s="16" t="s">
        <v>1717</v>
      </c>
      <c r="F22" s="16"/>
    </row>
    <row r="23" spans="1:6" ht="33">
      <c r="A23" s="13">
        <v>15</v>
      </c>
      <c r="B23" s="13" t="s">
        <v>1457</v>
      </c>
      <c r="C23" s="13" t="s">
        <v>1718</v>
      </c>
      <c r="D23" s="8" t="str">
        <f>IFERROR(_xlfn.XLOOKUP(C23,index.html!C:C,index.html!D:D)," ")</f>
        <v xml:space="preserve"> </v>
      </c>
      <c r="E23" s="13" t="s">
        <v>1719</v>
      </c>
      <c r="F23" s="13"/>
    </row>
    <row r="24" spans="1:6" ht="16.5">
      <c r="A24" s="16">
        <v>16</v>
      </c>
      <c r="B24" s="16" t="s">
        <v>1689</v>
      </c>
      <c r="C24" s="16" t="s">
        <v>1720</v>
      </c>
      <c r="D24" s="8" t="str">
        <f>IFERROR(_xlfn.XLOOKUP(C24,index.html!C:C,index.html!D:D)," ")</f>
        <v xml:space="preserve"> </v>
      </c>
      <c r="E24" s="16" t="s">
        <v>1721</v>
      </c>
      <c r="F24" s="16"/>
    </row>
    <row r="25" spans="1:6" ht="16.5">
      <c r="A25" s="13">
        <v>17</v>
      </c>
      <c r="B25" s="13" t="s">
        <v>1689</v>
      </c>
      <c r="C25" s="13" t="s">
        <v>1722</v>
      </c>
      <c r="D25" s="8" t="str">
        <f>IFERROR(_xlfn.XLOOKUP(C25,index.html!C:C,index.html!D:D)," ")</f>
        <v xml:space="preserve"> </v>
      </c>
      <c r="E25" s="13" t="s">
        <v>1723</v>
      </c>
      <c r="F25" s="13"/>
    </row>
    <row r="26" spans="1:6" ht="33">
      <c r="A26" s="16">
        <v>18</v>
      </c>
      <c r="B26" s="16" t="s">
        <v>1689</v>
      </c>
      <c r="C26" s="16" t="s">
        <v>1724</v>
      </c>
      <c r="D26" s="8" t="str">
        <f>IFERROR(_xlfn.XLOOKUP(C26,index.html!C:C,index.html!D:D)," ")</f>
        <v xml:space="preserve"> </v>
      </c>
      <c r="E26" s="16" t="s">
        <v>1725</v>
      </c>
      <c r="F26" s="16"/>
    </row>
    <row r="27" spans="1:6" ht="33">
      <c r="A27" s="13">
        <v>19</v>
      </c>
      <c r="B27" s="13" t="s">
        <v>1457</v>
      </c>
      <c r="C27" s="13" t="s">
        <v>1726</v>
      </c>
      <c r="D27" s="8" t="str">
        <f>IFERROR(_xlfn.XLOOKUP(C27,index.html!C:C,index.html!D:D)," ")</f>
        <v xml:space="preserve"> </v>
      </c>
      <c r="E27" s="13" t="s">
        <v>1727</v>
      </c>
      <c r="F27" s="13"/>
    </row>
    <row r="28" spans="1:6" ht="33">
      <c r="A28" s="16">
        <v>20</v>
      </c>
      <c r="B28" s="16" t="s">
        <v>1457</v>
      </c>
      <c r="C28" s="16" t="s">
        <v>1728</v>
      </c>
      <c r="D28" s="8" t="str">
        <f>IFERROR(_xlfn.XLOOKUP(C28,index.html!C:C,index.html!D:D)," ")</f>
        <v xml:space="preserve"> </v>
      </c>
      <c r="E28" s="16" t="s">
        <v>1729</v>
      </c>
      <c r="F28" s="16"/>
    </row>
    <row r="29" spans="1:6" ht="33">
      <c r="A29" s="13">
        <v>21</v>
      </c>
      <c r="B29" s="13" t="s">
        <v>1457</v>
      </c>
      <c r="C29" s="13" t="s">
        <v>1730</v>
      </c>
      <c r="D29" s="8" t="str">
        <f>IFERROR(_xlfn.XLOOKUP(C29,index.html!C:C,index.html!D:D)," ")</f>
        <v xml:space="preserve"> </v>
      </c>
      <c r="E29" s="13" t="s">
        <v>1731</v>
      </c>
      <c r="F29" s="13"/>
    </row>
    <row r="30" spans="1:6" ht="33">
      <c r="A30" s="16">
        <v>22</v>
      </c>
      <c r="B30" s="16" t="s">
        <v>1457</v>
      </c>
      <c r="C30" s="16" t="s">
        <v>1732</v>
      </c>
      <c r="D30" s="8" t="str">
        <f>IFERROR(_xlfn.XLOOKUP(C30,index.html!C:C,index.html!D:D)," ")</f>
        <v xml:space="preserve"> </v>
      </c>
      <c r="E30" s="16" t="s">
        <v>1733</v>
      </c>
      <c r="F30" s="16"/>
    </row>
    <row r="31" spans="1:6" ht="16.5">
      <c r="A31" s="13">
        <v>23</v>
      </c>
      <c r="B31" s="13" t="s">
        <v>59</v>
      </c>
      <c r="C31" s="13" t="s">
        <v>1734</v>
      </c>
      <c r="D31" s="8" t="str">
        <f>IFERROR(_xlfn.XLOOKUP(C31,index.html!C:C,index.html!D:D)," ")</f>
        <v xml:space="preserve"> </v>
      </c>
      <c r="E31" s="13" t="s">
        <v>1735</v>
      </c>
      <c r="F31" s="13"/>
    </row>
    <row r="32" spans="1:6" ht="33">
      <c r="A32" s="16">
        <v>24</v>
      </c>
      <c r="B32" s="16" t="s">
        <v>1457</v>
      </c>
      <c r="C32" s="16" t="s">
        <v>1736</v>
      </c>
      <c r="D32" s="8" t="str">
        <f>IFERROR(_xlfn.XLOOKUP(C32,index.html!C:C,index.html!D:D)," ")</f>
        <v xml:space="preserve"> </v>
      </c>
      <c r="E32" s="16" t="s">
        <v>1737</v>
      </c>
      <c r="F32" s="16"/>
    </row>
    <row r="33" spans="1:6" ht="16.5">
      <c r="A33" s="13">
        <v>25</v>
      </c>
      <c r="B33" s="13" t="s">
        <v>147</v>
      </c>
      <c r="C33" s="13" t="s">
        <v>1738</v>
      </c>
      <c r="D33" s="8" t="str">
        <f>IFERROR(_xlfn.XLOOKUP(C33,index.html!C:C,index.html!D:D)," ")</f>
        <v xml:space="preserve"> </v>
      </c>
      <c r="E33" s="13" t="s">
        <v>1739</v>
      </c>
      <c r="F33" s="13"/>
    </row>
    <row r="34" spans="1:6" ht="33">
      <c r="A34" s="16">
        <v>26</v>
      </c>
      <c r="B34" s="16" t="s">
        <v>147</v>
      </c>
      <c r="C34" s="16" t="s">
        <v>1740</v>
      </c>
      <c r="D34" s="8" t="str">
        <f>IFERROR(_xlfn.XLOOKUP(C34,index.html!C:C,index.html!D:D)," ")</f>
        <v xml:space="preserve"> </v>
      </c>
      <c r="E34" s="16" t="s">
        <v>1741</v>
      </c>
      <c r="F34" s="16"/>
    </row>
    <row r="35" spans="1:6" ht="16.5">
      <c r="A35" s="13">
        <v>27</v>
      </c>
      <c r="B35" s="13" t="s">
        <v>147</v>
      </c>
      <c r="C35" s="13" t="s">
        <v>1742</v>
      </c>
      <c r="D35" s="8" t="str">
        <f>IFERROR(_xlfn.XLOOKUP(C35,index.html!C:C,index.html!D:D)," ")</f>
        <v xml:space="preserve"> </v>
      </c>
      <c r="E35" s="13" t="s">
        <v>1743</v>
      </c>
      <c r="F35" s="13"/>
    </row>
    <row r="36" spans="1:6" ht="33">
      <c r="A36" s="16">
        <v>28</v>
      </c>
      <c r="B36" s="16" t="s">
        <v>147</v>
      </c>
      <c r="C36" s="16" t="s">
        <v>1744</v>
      </c>
      <c r="D36" s="8" t="str">
        <f>IFERROR(_xlfn.XLOOKUP(C36,index.html!C:C,index.html!D:D)," ")</f>
        <v xml:space="preserve"> </v>
      </c>
      <c r="E36" s="16" t="s">
        <v>1745</v>
      </c>
      <c r="F36" s="16"/>
    </row>
    <row r="37" spans="1:6" ht="16.5">
      <c r="A37" s="13">
        <v>29</v>
      </c>
      <c r="B37" s="13" t="s">
        <v>147</v>
      </c>
      <c r="C37" s="13" t="s">
        <v>1746</v>
      </c>
      <c r="D37" s="8" t="str">
        <f>IFERROR(_xlfn.XLOOKUP(C37,index.html!C:C,index.html!D:D)," ")</f>
        <v xml:space="preserve"> </v>
      </c>
      <c r="E37" s="13" t="s">
        <v>1747</v>
      </c>
      <c r="F37" s="13"/>
    </row>
    <row r="38" spans="1:6" ht="33">
      <c r="A38" s="16">
        <v>30</v>
      </c>
      <c r="B38" s="16" t="s">
        <v>147</v>
      </c>
      <c r="C38" s="16" t="s">
        <v>1748</v>
      </c>
      <c r="D38" s="8" t="str">
        <f>IFERROR(_xlfn.XLOOKUP(C38,index.html!C:C,index.html!D:D)," ")</f>
        <v xml:space="preserve"> </v>
      </c>
      <c r="E38" s="16" t="s">
        <v>1749</v>
      </c>
      <c r="F38" s="16"/>
    </row>
    <row r="39" spans="1:6" ht="16.5">
      <c r="A39" s="13">
        <v>31</v>
      </c>
      <c r="B39" s="13" t="s">
        <v>59</v>
      </c>
      <c r="C39" s="13" t="s">
        <v>1750</v>
      </c>
      <c r="D39" s="8" t="str">
        <f>IFERROR(_xlfn.XLOOKUP(C39,index.html!C:C,index.html!D:D)," ")</f>
        <v xml:space="preserve"> </v>
      </c>
      <c r="E39" s="13" t="s">
        <v>1751</v>
      </c>
      <c r="F39" s="13"/>
    </row>
    <row r="40" spans="1:6" ht="16.5">
      <c r="A40" s="16">
        <v>32</v>
      </c>
      <c r="B40" s="16" t="s">
        <v>1457</v>
      </c>
      <c r="C40" s="16" t="s">
        <v>1752</v>
      </c>
      <c r="D40" s="8" t="str">
        <f>IFERROR(_xlfn.XLOOKUP(C40,index.html!C:C,index.html!D:D)," ")</f>
        <v xml:space="preserve"> </v>
      </c>
      <c r="E40" s="16" t="s">
        <v>1753</v>
      </c>
      <c r="F40" s="16"/>
    </row>
    <row r="41" spans="1:6" ht="33">
      <c r="A41" s="13">
        <v>33</v>
      </c>
      <c r="B41" s="13" t="s">
        <v>1457</v>
      </c>
      <c r="C41" s="13" t="s">
        <v>1754</v>
      </c>
      <c r="D41" s="8" t="str">
        <f>IFERROR(_xlfn.XLOOKUP(C41,index.html!C:C,index.html!D:D)," ")</f>
        <v xml:space="preserve"> </v>
      </c>
      <c r="E41" s="13" t="s">
        <v>1755</v>
      </c>
      <c r="F41" s="13"/>
    </row>
    <row r="42" spans="1:6" ht="16.5">
      <c r="A42" s="16">
        <v>34</v>
      </c>
      <c r="B42" s="16" t="s">
        <v>1457</v>
      </c>
      <c r="C42" s="16" t="s">
        <v>1756</v>
      </c>
      <c r="D42" s="8" t="str">
        <f>IFERROR(_xlfn.XLOOKUP(C42,index.html!C:C,index.html!D:D)," ")</f>
        <v xml:space="preserve"> </v>
      </c>
      <c r="E42" s="16" t="s">
        <v>1757</v>
      </c>
      <c r="F42" s="16"/>
    </row>
    <row r="43" spans="1:6" ht="16.5">
      <c r="A43" s="13">
        <v>35</v>
      </c>
      <c r="B43" s="13" t="s">
        <v>1457</v>
      </c>
      <c r="C43" s="13" t="s">
        <v>1758</v>
      </c>
      <c r="D43" s="8" t="str">
        <f>IFERROR(_xlfn.XLOOKUP(C43,index.html!C:C,index.html!D:D)," ")</f>
        <v xml:space="preserve"> </v>
      </c>
      <c r="E43" s="13" t="s">
        <v>1759</v>
      </c>
      <c r="F43" s="13"/>
    </row>
    <row r="44" spans="1:6" ht="33">
      <c r="A44" s="16">
        <v>36</v>
      </c>
      <c r="B44" s="16" t="s">
        <v>1457</v>
      </c>
      <c r="C44" s="16" t="s">
        <v>1760</v>
      </c>
      <c r="D44" s="8" t="str">
        <f>IFERROR(_xlfn.XLOOKUP(C44,index.html!C:C,index.html!D:D)," ")</f>
        <v xml:space="preserve"> </v>
      </c>
      <c r="E44" s="16" t="s">
        <v>1761</v>
      </c>
      <c r="F44" s="16"/>
    </row>
    <row r="45" spans="1:6" ht="33">
      <c r="A45" s="13">
        <v>37</v>
      </c>
      <c r="B45" s="13" t="s">
        <v>1457</v>
      </c>
      <c r="C45" s="13" t="s">
        <v>1762</v>
      </c>
      <c r="D45" s="8" t="str">
        <f>IFERROR(_xlfn.XLOOKUP(C45,index.html!C:C,index.html!D:D)," ")</f>
        <v xml:space="preserve"> </v>
      </c>
      <c r="E45" s="13" t="s">
        <v>1763</v>
      </c>
      <c r="F45" s="13"/>
    </row>
    <row r="46" spans="1:6" ht="16.5">
      <c r="A46" s="16">
        <v>38</v>
      </c>
      <c r="B46" s="16" t="s">
        <v>1457</v>
      </c>
      <c r="C46" s="16" t="s">
        <v>1764</v>
      </c>
      <c r="D46" s="8" t="str">
        <f>IFERROR(_xlfn.XLOOKUP(C46,index.html!C:C,index.html!D:D)," ")</f>
        <v xml:space="preserve"> </v>
      </c>
      <c r="E46" s="16" t="s">
        <v>1765</v>
      </c>
      <c r="F46" s="16"/>
    </row>
    <row r="47" spans="1:6" ht="16.5">
      <c r="A47" s="13">
        <v>39</v>
      </c>
      <c r="B47" s="13" t="s">
        <v>1457</v>
      </c>
      <c r="C47" s="13" t="s">
        <v>1766</v>
      </c>
      <c r="D47" s="8" t="str">
        <f>IFERROR(_xlfn.XLOOKUP(C47,index.html!C:C,index.html!D:D)," ")</f>
        <v xml:space="preserve"> </v>
      </c>
      <c r="E47" s="13" t="s">
        <v>1767</v>
      </c>
      <c r="F47" s="13"/>
    </row>
    <row r="48" spans="1:6" ht="33">
      <c r="A48" s="16">
        <v>40</v>
      </c>
      <c r="B48" s="16" t="s">
        <v>1457</v>
      </c>
      <c r="C48" s="16" t="s">
        <v>1768</v>
      </c>
      <c r="D48" s="8" t="str">
        <f>IFERROR(_xlfn.XLOOKUP(C48,index.html!C:C,index.html!D:D)," ")</f>
        <v xml:space="preserve"> </v>
      </c>
      <c r="E48" s="16" t="s">
        <v>1769</v>
      </c>
      <c r="F48" s="16"/>
    </row>
    <row r="49" spans="1:6" ht="16.5">
      <c r="A49" s="13">
        <v>41</v>
      </c>
      <c r="B49" s="13" t="s">
        <v>1457</v>
      </c>
      <c r="C49" s="13" t="s">
        <v>1770</v>
      </c>
      <c r="D49" s="8" t="str">
        <f>IFERROR(_xlfn.XLOOKUP(C49,index.html!C:C,index.html!D:D)," ")</f>
        <v xml:space="preserve"> </v>
      </c>
      <c r="E49" s="13" t="s">
        <v>1771</v>
      </c>
      <c r="F49" s="13"/>
    </row>
    <row r="50" spans="1:6" ht="33">
      <c r="A50" s="16">
        <v>42</v>
      </c>
      <c r="B50" s="16" t="s">
        <v>1457</v>
      </c>
      <c r="C50" s="16" t="s">
        <v>1772</v>
      </c>
      <c r="D50" s="8" t="str">
        <f>IFERROR(_xlfn.XLOOKUP(C50,index.html!C:C,index.html!D:D)," ")</f>
        <v xml:space="preserve"> </v>
      </c>
      <c r="E50" s="16" t="s">
        <v>1773</v>
      </c>
      <c r="F50" s="16"/>
    </row>
    <row r="51" spans="1:6" ht="33">
      <c r="A51" s="13">
        <v>43</v>
      </c>
      <c r="B51" s="13" t="s">
        <v>1689</v>
      </c>
      <c r="C51" s="13" t="s">
        <v>1774</v>
      </c>
      <c r="D51" s="8" t="str">
        <f>IFERROR(_xlfn.XLOOKUP(C51,index.html!C:C,index.html!D:D)," ")</f>
        <v xml:space="preserve"> </v>
      </c>
      <c r="E51" s="13" t="s">
        <v>1775</v>
      </c>
      <c r="F51" s="13"/>
    </row>
    <row r="52" spans="1:6" ht="16.5">
      <c r="A52" s="16">
        <v>44</v>
      </c>
      <c r="B52" s="16" t="s">
        <v>59</v>
      </c>
      <c r="C52" s="16" t="s">
        <v>1776</v>
      </c>
      <c r="D52" s="8" t="str">
        <f>IFERROR(_xlfn.XLOOKUP(C52,index.html!C:C,index.html!D:D)," ")</f>
        <v xml:space="preserve"> </v>
      </c>
      <c r="E52" s="16" t="s">
        <v>1777</v>
      </c>
      <c r="F52" s="16"/>
    </row>
    <row r="53" spans="1:6" ht="33">
      <c r="A53" s="13">
        <v>45</v>
      </c>
      <c r="B53" s="13" t="s">
        <v>1457</v>
      </c>
      <c r="C53" s="13" t="s">
        <v>1778</v>
      </c>
      <c r="D53" s="8" t="str">
        <f>IFERROR(_xlfn.XLOOKUP(C53,index.html!C:C,index.html!D:D)," ")</f>
        <v xml:space="preserve"> </v>
      </c>
      <c r="E53" s="13" t="s">
        <v>1779</v>
      </c>
      <c r="F53" s="13"/>
    </row>
    <row r="54" spans="1:6" ht="16.5">
      <c r="A54" s="16">
        <v>46</v>
      </c>
      <c r="B54" s="16" t="s">
        <v>147</v>
      </c>
      <c r="C54" s="16" t="s">
        <v>1780</v>
      </c>
      <c r="D54" s="8" t="str">
        <f>IFERROR(_xlfn.XLOOKUP(C54,index.html!C:C,index.html!D:D)," ")</f>
        <v xml:space="preserve"> </v>
      </c>
      <c r="E54" s="16" t="s">
        <v>1781</v>
      </c>
      <c r="F54" s="16"/>
    </row>
    <row r="55" spans="1:6" ht="33">
      <c r="A55" s="13">
        <v>47</v>
      </c>
      <c r="B55" s="13" t="s">
        <v>147</v>
      </c>
      <c r="C55" s="13" t="s">
        <v>1782</v>
      </c>
      <c r="D55" s="8" t="str">
        <f>IFERROR(_xlfn.XLOOKUP(C55,index.html!C:C,index.html!D:D)," ")</f>
        <v xml:space="preserve"> </v>
      </c>
      <c r="E55" s="13" t="s">
        <v>1783</v>
      </c>
      <c r="F55" s="13"/>
    </row>
    <row r="56" spans="1:6" ht="16.5">
      <c r="A56" s="16">
        <v>48</v>
      </c>
      <c r="B56" s="16" t="s">
        <v>147</v>
      </c>
      <c r="C56" s="16" t="s">
        <v>1784</v>
      </c>
      <c r="D56" s="8" t="str">
        <f>IFERROR(_xlfn.XLOOKUP(C56,index.html!C:C,index.html!D:D)," ")</f>
        <v xml:space="preserve"> </v>
      </c>
      <c r="E56" s="16" t="s">
        <v>1785</v>
      </c>
      <c r="F56" s="16"/>
    </row>
    <row r="57" spans="1:6" ht="33">
      <c r="A57" s="13">
        <v>49</v>
      </c>
      <c r="B57" s="13" t="s">
        <v>147</v>
      </c>
      <c r="C57" s="13" t="s">
        <v>1786</v>
      </c>
      <c r="D57" s="8" t="str">
        <f>IFERROR(_xlfn.XLOOKUP(C57,index.html!C:C,index.html!D:D)," ")</f>
        <v xml:space="preserve"> </v>
      </c>
      <c r="E57" s="13" t="s">
        <v>1787</v>
      </c>
      <c r="F57" s="13"/>
    </row>
    <row r="58" spans="1:6" ht="33">
      <c r="A58" s="16">
        <v>50</v>
      </c>
      <c r="B58" s="16" t="s">
        <v>147</v>
      </c>
      <c r="C58" s="16" t="s">
        <v>1788</v>
      </c>
      <c r="D58" s="8" t="str">
        <f>IFERROR(_xlfn.XLOOKUP(C58,index.html!C:C,index.html!D:D)," ")</f>
        <v xml:space="preserve"> </v>
      </c>
      <c r="E58" s="16" t="s">
        <v>1789</v>
      </c>
      <c r="F58" s="16"/>
    </row>
    <row r="59" spans="1:6" ht="16.5">
      <c r="A59" s="13">
        <v>51</v>
      </c>
      <c r="B59" s="13" t="s">
        <v>59</v>
      </c>
      <c r="C59" s="13" t="s">
        <v>1790</v>
      </c>
      <c r="D59" s="8" t="str">
        <f>IFERROR(_xlfn.XLOOKUP(C59,index.html!C:C,index.html!D:D)," ")</f>
        <v xml:space="preserve"> </v>
      </c>
      <c r="E59" s="13" t="s">
        <v>1791</v>
      </c>
      <c r="F59" s="13"/>
    </row>
    <row r="60" spans="1:6" ht="33">
      <c r="A60" s="16">
        <v>52</v>
      </c>
      <c r="B60" s="16" t="s">
        <v>1457</v>
      </c>
      <c r="C60" s="16" t="s">
        <v>1792</v>
      </c>
      <c r="D60" s="8" t="str">
        <f>IFERROR(_xlfn.XLOOKUP(C60,index.html!C:C,index.html!D:D)," ")</f>
        <v xml:space="preserve"> </v>
      </c>
      <c r="E60" s="16" t="s">
        <v>1793</v>
      </c>
      <c r="F60" s="16"/>
    </row>
    <row r="61" spans="1:6" ht="33">
      <c r="A61" s="13">
        <v>53</v>
      </c>
      <c r="B61" s="13" t="s">
        <v>317</v>
      </c>
      <c r="C61" s="13" t="s">
        <v>1654</v>
      </c>
      <c r="D61" s="8" t="str">
        <f>IFERROR(_xlfn.XLOOKUP(C61,index.html!C:C,index.html!D:D)," ")</f>
        <v xml:space="preserve"> </v>
      </c>
      <c r="E61" s="13" t="s">
        <v>1655</v>
      </c>
      <c r="F61" s="13"/>
    </row>
    <row r="62" spans="1:6" ht="16.5">
      <c r="A62" s="16">
        <v>54</v>
      </c>
      <c r="B62" s="16" t="s">
        <v>317</v>
      </c>
      <c r="C62" s="16" t="s">
        <v>1794</v>
      </c>
      <c r="D62" s="8" t="str">
        <f>IFERROR(_xlfn.XLOOKUP(C62,index.html!C:C,index.html!D:D)," ")</f>
        <v xml:space="preserve"> </v>
      </c>
      <c r="E62" s="16" t="s">
        <v>1795</v>
      </c>
      <c r="F62" s="16"/>
    </row>
    <row r="63" spans="1:6" ht="16.5">
      <c r="A63" s="13">
        <v>55</v>
      </c>
      <c r="B63" s="13" t="s">
        <v>1457</v>
      </c>
      <c r="C63" s="13" t="s">
        <v>1796</v>
      </c>
      <c r="D63" s="8" t="str">
        <f>IFERROR(_xlfn.XLOOKUP(C63,index.html!C:C,index.html!D:D)," ")</f>
        <v xml:space="preserve"> </v>
      </c>
      <c r="E63" s="13" t="s">
        <v>1544</v>
      </c>
      <c r="F63" s="13"/>
    </row>
    <row r="64" spans="1:6" ht="16.5">
      <c r="A64" s="16">
        <v>56</v>
      </c>
      <c r="B64" s="16" t="s">
        <v>59</v>
      </c>
      <c r="C64" s="16" t="s">
        <v>1135</v>
      </c>
      <c r="D64" s="8" t="str">
        <f>IFERROR(_xlfn.XLOOKUP(C64,index.html!C:C,index.html!D:D)," ")</f>
        <v xml:space="preserve"> </v>
      </c>
      <c r="E64" s="16" t="s">
        <v>1797</v>
      </c>
      <c r="F64" s="16"/>
    </row>
    <row r="65" spans="1:6" ht="16.5">
      <c r="A65" s="13">
        <v>57</v>
      </c>
      <c r="B65" s="13" t="s">
        <v>1457</v>
      </c>
      <c r="C65" s="13" t="s">
        <v>1798</v>
      </c>
      <c r="D65" s="8" t="str">
        <f>IFERROR(_xlfn.XLOOKUP(C65,index.html!C:C,index.html!D:D)," ")</f>
        <v xml:space="preserve"> </v>
      </c>
      <c r="E65" s="13" t="s">
        <v>1799</v>
      </c>
      <c r="F65" s="13"/>
    </row>
    <row r="66" spans="1:6" ht="16.5">
      <c r="A66" s="16">
        <v>58</v>
      </c>
      <c r="B66" s="16" t="s">
        <v>1457</v>
      </c>
      <c r="C66" s="16" t="s">
        <v>1800</v>
      </c>
      <c r="D66" s="8" t="str">
        <f>IFERROR(_xlfn.XLOOKUP(C66,index.html!C:C,index.html!D:D)," ")</f>
        <v xml:space="preserve"> </v>
      </c>
      <c r="E66" s="16" t="s">
        <v>1801</v>
      </c>
      <c r="F66" s="16"/>
    </row>
    <row r="67" spans="1:6" ht="16.5">
      <c r="A67" s="13">
        <v>59</v>
      </c>
      <c r="B67" s="13" t="s">
        <v>1457</v>
      </c>
      <c r="C67" s="13" t="s">
        <v>701</v>
      </c>
      <c r="D67" s="8" t="str">
        <f>IFERROR(_xlfn.XLOOKUP(C67,index.html!C:C,index.html!D:D)," ")</f>
        <v xml:space="preserve"> </v>
      </c>
      <c r="E67" s="13" t="s">
        <v>96</v>
      </c>
      <c r="F67" s="13"/>
    </row>
    <row r="68" spans="1:6" ht="33">
      <c r="A68" s="16">
        <v>60</v>
      </c>
      <c r="B68" s="16" t="s">
        <v>147</v>
      </c>
      <c r="C68" s="16" t="s">
        <v>1681</v>
      </c>
      <c r="D68" s="8" t="str">
        <f>IFERROR(_xlfn.XLOOKUP(C68,index.html!C:C,index.html!D:D)," ")</f>
        <v xml:space="preserve"> </v>
      </c>
      <c r="E68" s="16" t="s">
        <v>1682</v>
      </c>
      <c r="F68" s="16"/>
    </row>
    <row r="69" spans="1:6" ht="16.5">
      <c r="A69" s="13">
        <v>61</v>
      </c>
      <c r="B69" s="13" t="s">
        <v>1457</v>
      </c>
      <c r="C69" s="13" t="s">
        <v>952</v>
      </c>
      <c r="D69" s="8" t="str">
        <f>IFERROR(_xlfn.XLOOKUP(C69,index.html!C:C,index.html!D:D)," ")</f>
        <v xml:space="preserve"> </v>
      </c>
      <c r="E69" s="13" t="s">
        <v>70</v>
      </c>
      <c r="F69" s="13"/>
    </row>
    <row r="70" spans="1:6" ht="16.5">
      <c r="A70" s="16">
        <v>62</v>
      </c>
      <c r="B70" s="16" t="s">
        <v>147</v>
      </c>
      <c r="C70" s="16" t="s">
        <v>953</v>
      </c>
      <c r="D70" s="8" t="str">
        <f>IFERROR(_xlfn.XLOOKUP(C70,index.html!C:C,index.html!D:D)," ")</f>
        <v xml:space="preserve"> </v>
      </c>
      <c r="E70" s="16" t="s">
        <v>955</v>
      </c>
      <c r="F70" s="16"/>
    </row>
    <row r="71" spans="1:6" ht="33">
      <c r="A71" s="13">
        <v>63</v>
      </c>
      <c r="B71" s="13" t="s">
        <v>147</v>
      </c>
      <c r="C71" s="13" t="s">
        <v>1683</v>
      </c>
      <c r="D71" s="8" t="str">
        <f>IFERROR(_xlfn.XLOOKUP(C71,index.html!C:C,index.html!D:D)," ")</f>
        <v xml:space="preserve"> </v>
      </c>
      <c r="E71" s="13" t="s">
        <v>1684</v>
      </c>
      <c r="F71" s="13"/>
    </row>
    <row r="72" spans="1:6" ht="16.5">
      <c r="A72" s="16">
        <v>64</v>
      </c>
      <c r="B72" s="16" t="s">
        <v>1457</v>
      </c>
      <c r="C72" s="16" t="s">
        <v>958</v>
      </c>
      <c r="D72" s="8" t="str">
        <f>IFERROR(_xlfn.XLOOKUP(C72,index.html!C:C,index.html!D:D)," ")</f>
        <v xml:space="preserve"> </v>
      </c>
      <c r="E72" s="16" t="s">
        <v>960</v>
      </c>
      <c r="F72" s="16"/>
    </row>
    <row r="73" spans="1:6" ht="16.5">
      <c r="A73" s="13">
        <v>65</v>
      </c>
      <c r="B73" s="13" t="s">
        <v>147</v>
      </c>
      <c r="C73" s="13" t="s">
        <v>606</v>
      </c>
      <c r="D73" s="8" t="str">
        <f>IFERROR(_xlfn.XLOOKUP(C73,index.html!C:C,index.html!D:D)," ")</f>
        <v xml:space="preserve"> </v>
      </c>
      <c r="E73" s="13" t="s">
        <v>607</v>
      </c>
      <c r="F73" s="13"/>
    </row>
    <row r="74" spans="1:6" ht="33">
      <c r="A74" s="16">
        <v>66</v>
      </c>
      <c r="B74" s="16" t="s">
        <v>147</v>
      </c>
      <c r="C74" s="16" t="s">
        <v>1685</v>
      </c>
      <c r="D74" s="8" t="str">
        <f>IFERROR(_xlfn.XLOOKUP(C74,index.html!C:C,index.html!D:D)," ")</f>
        <v xml:space="preserve"> </v>
      </c>
      <c r="E74" s="16" t="s">
        <v>1686</v>
      </c>
      <c r="F74" s="16"/>
    </row>
    <row r="75" spans="1:6" ht="16.5">
      <c r="A75" s="13">
        <v>67</v>
      </c>
      <c r="B75" s="13" t="s">
        <v>1457</v>
      </c>
      <c r="C75" s="13" t="s">
        <v>601</v>
      </c>
      <c r="D75" s="8" t="str">
        <f>IFERROR(_xlfn.XLOOKUP(C75,index.html!C:C,index.html!D:D)," ")</f>
        <v xml:space="preserve"> </v>
      </c>
      <c r="E75" s="13" t="s">
        <v>602</v>
      </c>
      <c r="F75" s="13"/>
    </row>
    <row r="76" spans="1:6" ht="16.5">
      <c r="A76" s="16">
        <v>68</v>
      </c>
      <c r="B76" s="16" t="s">
        <v>59</v>
      </c>
      <c r="C76" s="16" t="s">
        <v>79</v>
      </c>
      <c r="D76" s="8" t="str">
        <f>IFERROR(_xlfn.XLOOKUP(C76,index.html!C:C,index.html!D:D)," ")</f>
        <v>立即申请</v>
      </c>
      <c r="E76" s="16" t="s">
        <v>80</v>
      </c>
      <c r="F76" s="16"/>
    </row>
  </sheetData>
  <hyperlinks>
    <hyperlink ref="B2" r:id="rId1" xr:uid="{DFE976C0-2D27-4DA7-9F70-9A8F00B6428B}"/>
  </hyperlinks>
  <pageMargins left="0.75" right="0.75" top="1" bottom="1" header="0.5" footer="0.5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mark2 xmlns="8b75a7d6-4ce3-4d27-8aac-212b1709f77f" xsi:nil="true"/>
    <lcf76f155ced4ddcb4097134ff3c332f xmlns="8b75a7d6-4ce3-4d27-8aac-212b1709f77f">
      <Terms xmlns="http://schemas.microsoft.com/office/infopath/2007/PartnerControls"/>
    </lcf76f155ced4ddcb4097134ff3c332f>
    <Remark xmlns="8b75a7d6-4ce3-4d27-8aac-212b1709f77f" xsi:nil="true"/>
    <TaxCatchAll xmlns="b9500e8e-d650-46b6-9bce-ff5267fdffb5" xsi:nil="true"/>
    <TA xmlns="8b75a7d6-4ce3-4d27-8aac-212b1709f77f">
      <UserInfo>
        <DisplayName/>
        <AccountId xsi:nil="true"/>
        <AccountType/>
      </UserInfo>
    </TA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FAF0E31A5A774A876A3C715B053F84" ma:contentTypeVersion="17" ma:contentTypeDescription="Create a new document." ma:contentTypeScope="" ma:versionID="e72c019735ba4fd1100fb3f102129ae9">
  <xsd:schema xmlns:xsd="http://www.w3.org/2001/XMLSchema" xmlns:xs="http://www.w3.org/2001/XMLSchema" xmlns:p="http://schemas.microsoft.com/office/2006/metadata/properties" xmlns:ns2="8b75a7d6-4ce3-4d27-8aac-212b1709f77f" xmlns:ns3="b9500e8e-d650-46b6-9bce-ff5267fdffb5" targetNamespace="http://schemas.microsoft.com/office/2006/metadata/properties" ma:root="true" ma:fieldsID="ad9eff0fb55c93df3bccdc45ce5bde44" ns2:_="" ns3:_="">
    <xsd:import namespace="8b75a7d6-4ce3-4d27-8aac-212b1709f77f"/>
    <xsd:import namespace="b9500e8e-d650-46b6-9bce-ff5267fdff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TA" minOccurs="0"/>
                <xsd:element ref="ns2:Remark" minOccurs="0"/>
                <xsd:element ref="ns2:Remark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75a7d6-4ce3-4d27-8aac-212b1709f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dc3dee4-acfb-4958-b3e6-b05ed2e9a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A" ma:index="22" nillable="true" ma:displayName="TA" ma:format="Dropdown" ma:list="UserInfo" ma:SharePointGroup="0" ma:internalName="TA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mark" ma:index="23" nillable="true" ma:displayName="Remark" ma:format="Dropdown" ma:internalName="Remark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Interested "/>
                    <xsd:enumeration value="Not interested"/>
                    <xsd:enumeration value="No Pick up"/>
                  </xsd:restriction>
                </xsd:simpleType>
              </xsd:element>
            </xsd:sequence>
          </xsd:extension>
        </xsd:complexContent>
      </xsd:complexType>
    </xsd:element>
    <xsd:element name="Remark2" ma:index="24" nillable="true" ma:displayName="Remark 2" ma:format="Dropdown" ma:internalName="Remark2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500e8e-d650-46b6-9bce-ff5267fdffb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5136755-b78e-4ed1-9fb7-c191599c2cb9}" ma:internalName="TaxCatchAll" ma:showField="CatchAllData" ma:web="b9500e8e-d650-46b6-9bce-ff5267fdff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FCCC44-547F-46FA-8AFF-66EC35EAAE41}"/>
</file>

<file path=customXml/itemProps2.xml><?xml version="1.0" encoding="utf-8"?>
<ds:datastoreItem xmlns:ds="http://schemas.openxmlformats.org/officeDocument/2006/customXml" ds:itemID="{49E2CE28-1FEA-49FE-BE5C-396A15B14766}"/>
</file>

<file path=customXml/itemProps3.xml><?xml version="1.0" encoding="utf-8"?>
<ds:datastoreItem xmlns:ds="http://schemas.openxmlformats.org/officeDocument/2006/customXml" ds:itemID="{DB6CF60B-F1B4-4A04-930D-5EC25F0D0E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Amr Ezzeldin Abdelmaguid Mihany</cp:lastModifiedBy>
  <cp:revision/>
  <dcterms:created xsi:type="dcterms:W3CDTF">2026-01-27T05:21:42Z</dcterms:created>
  <dcterms:modified xsi:type="dcterms:W3CDTF">2026-02-19T01:44:05Z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0x010100CBFAF0E31A5A774A876A3C715B053F84</vt:lpwstr>
  </property>
  <property fmtid="{D5CDD505-2E9C-101B-9397-08002B2CF9AE}" pid="3" name="MediaServiceImageTags">
    <vt:lpwstr/>
  </property>
</Properties>
</file>